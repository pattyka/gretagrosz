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tagrosz/Desktop/Locked in on life/"/>
    </mc:Choice>
  </mc:AlternateContent>
  <xr:revisionPtr revIDLastSave="0" documentId="13_ncr:1_{3AC39464-ADEF-7C44-A887-2E8583489982}" xr6:coauthVersionLast="47" xr6:coauthVersionMax="47" xr10:uidLastSave="{00000000-0000-0000-0000-000000000000}"/>
  <bookViews>
    <workbookView xWindow="11740" yWindow="840" windowWidth="15420" windowHeight="17360" activeTab="1" xr2:uid="{588C8265-B229-8B40-A656-E6AAD4EA9AE0}"/>
  </bookViews>
  <sheets>
    <sheet name="Daten" sheetId="1" r:id="rId1"/>
    <sheet name="Rechner" sheetId="4" r:id="rId2"/>
    <sheet name="Insights" sheetId="3" r:id="rId3"/>
  </sheets>
  <definedNames>
    <definedName name="_xlnm._FilterDatabase" localSheetId="2" hidden="1">Insights!$A$11:$B$23</definedName>
    <definedName name="_xlnm.Print_Area" localSheetId="0">tblKonten[]</definedName>
    <definedName name="_xlnm.Print_Area" localSheetId="2">Insights!$A$1:$M$65</definedName>
    <definedName name="_xlnm.Print_Area" localSheetId="1">Rechner!$A$1:$F$29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3" l="1" a="1"/>
  <c r="F41" i="3" s="1"/>
  <c r="E41" i="3" a="1"/>
  <c r="E41" i="3" s="1"/>
  <c r="D41" i="3" a="1"/>
  <c r="D41" i="3" s="1"/>
  <c r="C41" i="3" a="1"/>
  <c r="C41" i="3" s="1"/>
  <c r="B41" i="3" a="1"/>
  <c r="B41" i="3" s="1"/>
  <c r="A41" i="3" a="1"/>
  <c r="A41" i="3" s="1"/>
  <c r="C27" i="3" a="1"/>
  <c r="C27" i="3" s="1"/>
  <c r="B27" i="3" a="1"/>
  <c r="B27" i="3" s="1"/>
  <c r="A27" i="3" a="1"/>
  <c r="A27" i="3" s="1"/>
  <c r="B12" i="3" a="1"/>
  <c r="B12" i="3" s="1"/>
  <c r="A12" i="3" a="1"/>
  <c r="A12" i="3" s="1"/>
  <c r="D7" i="3"/>
  <c r="D6" i="3"/>
  <c r="D5" i="3"/>
  <c r="D4" i="3"/>
  <c r="W17" i="4"/>
  <c r="W18" i="4"/>
  <c r="W19" i="4"/>
  <c r="W20" i="4"/>
  <c r="W21" i="4"/>
  <c r="W22" i="4"/>
  <c r="W23" i="4"/>
  <c r="W24" i="4"/>
  <c r="W25" i="4"/>
  <c r="W26" i="4"/>
  <c r="W27" i="4"/>
  <c r="W16" i="4"/>
  <c r="V17" i="4"/>
  <c r="V18" i="4"/>
  <c r="V19" i="4"/>
  <c r="V20" i="4"/>
  <c r="V21" i="4"/>
  <c r="V22" i="4"/>
  <c r="V23" i="4"/>
  <c r="V24" i="4"/>
  <c r="V25" i="4"/>
  <c r="V26" i="4"/>
  <c r="V27" i="4"/>
  <c r="V16" i="4"/>
  <c r="U17" i="4"/>
  <c r="U18" i="4"/>
  <c r="U19" i="4"/>
  <c r="U20" i="4"/>
  <c r="U21" i="4"/>
  <c r="U22" i="4"/>
  <c r="U23" i="4"/>
  <c r="U24" i="4"/>
  <c r="U25" i="4"/>
  <c r="U26" i="4"/>
  <c r="U27" i="4"/>
  <c r="U16" i="4"/>
  <c r="T17" i="4"/>
  <c r="T18" i="4"/>
  <c r="T19" i="4"/>
  <c r="T20" i="4"/>
  <c r="T21" i="4"/>
  <c r="T22" i="4"/>
  <c r="T23" i="4"/>
  <c r="T24" i="4"/>
  <c r="T25" i="4"/>
  <c r="T26" i="4"/>
  <c r="T27" i="4"/>
  <c r="T16" i="4"/>
  <c r="S17" i="4"/>
  <c r="S18" i="4"/>
  <c r="S19" i="4"/>
  <c r="S20" i="4"/>
  <c r="S21" i="4"/>
  <c r="S22" i="4"/>
  <c r="S23" i="4"/>
  <c r="S24" i="4"/>
  <c r="S25" i="4"/>
  <c r="S26" i="4"/>
  <c r="S27" i="4"/>
  <c r="S16" i="4"/>
  <c r="R17" i="4"/>
  <c r="B17" i="4" s="1"/>
  <c r="C17" i="4" s="1"/>
  <c r="R18" i="4"/>
  <c r="B18" i="4" s="1"/>
  <c r="C18" i="4" s="1"/>
  <c r="R19" i="4"/>
  <c r="B19" i="4" s="1"/>
  <c r="C19" i="4" s="1"/>
  <c r="R20" i="4"/>
  <c r="B20" i="4" s="1"/>
  <c r="C20" i="4" s="1"/>
  <c r="R21" i="4"/>
  <c r="B21" i="4" s="1"/>
  <c r="C21" i="4" s="1"/>
  <c r="R22" i="4"/>
  <c r="B22" i="4" s="1"/>
  <c r="C22" i="4" s="1"/>
  <c r="R23" i="4"/>
  <c r="B23" i="4" s="1"/>
  <c r="C23" i="4" s="1"/>
  <c r="R24" i="4"/>
  <c r="B24" i="4" s="1"/>
  <c r="C24" i="4" s="1"/>
  <c r="R25" i="4"/>
  <c r="B25" i="4" s="1"/>
  <c r="C25" i="4" s="1"/>
  <c r="R26" i="4"/>
  <c r="B26" i="4" s="1"/>
  <c r="C26" i="4" s="1"/>
  <c r="R27" i="4"/>
  <c r="B27" i="4" s="1"/>
  <c r="C27" i="4" s="1"/>
  <c r="R16" i="4"/>
  <c r="B16" i="4" s="1"/>
  <c r="C16" i="4" s="1"/>
  <c r="Q17" i="4"/>
  <c r="Q19" i="4"/>
  <c r="Q20" i="4"/>
  <c r="Q21" i="4"/>
  <c r="Q22" i="4"/>
  <c r="Q23" i="4"/>
  <c r="Q24" i="4"/>
  <c r="Q25" i="4"/>
  <c r="Q26" i="4"/>
  <c r="Q27" i="4"/>
  <c r="Q16" i="4"/>
  <c r="D27" i="4"/>
  <c r="D26" i="4"/>
  <c r="D25" i="4"/>
  <c r="D24" i="4"/>
  <c r="D23" i="4"/>
  <c r="D22" i="4"/>
  <c r="D21" i="4"/>
  <c r="D20" i="4"/>
  <c r="D19" i="4"/>
  <c r="D17" i="4"/>
  <c r="D16" i="4"/>
  <c r="E8" i="4" l="1"/>
  <c r="E7" i="4" l="1"/>
  <c r="E9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<sst xmlns="http://schemas.openxmlformats.org/spreadsheetml/2006/main" count="125" uniqueCount="83">
  <si>
    <t>Bank</t>
  </si>
  <si>
    <t>Konto</t>
  </si>
  <si>
    <t>Alter von</t>
  </si>
  <si>
    <t>Alter bis</t>
  </si>
  <si>
    <t>Kontoführung €/Jahr</t>
  </si>
  <si>
    <t>Eröffnungsbonus €</t>
  </si>
  <si>
    <t>Bonus-Bedingung</t>
  </si>
  <si>
    <t>Ticket-/Eventrabatte (1–5)</t>
  </si>
  <si>
    <t>App-Stärke (1–5)</t>
  </si>
  <si>
    <t>Filialnetz (1–5)</t>
  </si>
  <si>
    <t>Investing (1–5)</t>
  </si>
  <si>
    <t>Gratis bis Alter</t>
  </si>
  <si>
    <t>Erste/Sparkasse</t>
  </si>
  <si>
    <t>spark7</t>
  </si>
  <si>
    <t>Online-Eröffnung</t>
  </si>
  <si>
    <t>Boni-Stack (Sparplan etc.)</t>
  </si>
  <si>
    <t>Raiffeisen</t>
  </si>
  <si>
    <t>Neueröffnung</t>
  </si>
  <si>
    <t>Gold-Karte 1 J. gratis</t>
  </si>
  <si>
    <t>Bank Austria</t>
  </si>
  <si>
    <t>MegaCard</t>
  </si>
  <si>
    <t>Gutschein-Aktion</t>
  </si>
  <si>
    <t>GoGreen Studenten</t>
  </si>
  <si>
    <t>BAWAG</t>
  </si>
  <si>
    <t>5 Zahlungen/Monat, 6 Mon.</t>
  </si>
  <si>
    <t>easybank</t>
  </si>
  <si>
    <t>easy youth</t>
  </si>
  <si>
    <t>wie BAWAG</t>
  </si>
  <si>
    <t>bank99</t>
  </si>
  <si>
    <t>Cash-Bonus</t>
  </si>
  <si>
    <t>N26</t>
  </si>
  <si>
    <t>–</t>
  </si>
  <si>
    <t>Revolut</t>
  </si>
  <si>
    <t>JBL-Kopfhörer</t>
  </si>
  <si>
    <t>Alter:</t>
  </si>
  <si>
    <t>Status:</t>
  </si>
  <si>
    <t>Jugendkonto-Vergleichrechner</t>
  </si>
  <si>
    <t>App:</t>
  </si>
  <si>
    <t>Events:</t>
  </si>
  <si>
    <t>Filiale:</t>
  </si>
  <si>
    <t>Investieren:</t>
  </si>
  <si>
    <t>Bonus:</t>
  </si>
  <si>
    <t>Wie wichtig ist dir… (1-5)</t>
  </si>
  <si>
    <t>Konto:</t>
  </si>
  <si>
    <t>Verfügbar:</t>
  </si>
  <si>
    <t>Score:</t>
  </si>
  <si>
    <t>Spark7</t>
  </si>
  <si>
    <t>Erste Studentenkonto</t>
  </si>
  <si>
    <t>Raiffeisen Studentenkonto</t>
  </si>
  <si>
    <t>Raiffeisen Jugendkonto</t>
  </si>
  <si>
    <t>Megacard</t>
  </si>
  <si>
    <t>bank99 Jugendkonto</t>
  </si>
  <si>
    <t>Bonus</t>
  </si>
  <si>
    <t>Deine Empfehlung:</t>
  </si>
  <si>
    <t>Max. Alter:</t>
  </si>
  <si>
    <t>Min.Alter:</t>
  </si>
  <si>
    <t>BAWAG B4-19 KontoBox</t>
  </si>
  <si>
    <t>BAWAG Studenten KontoBox</t>
  </si>
  <si>
    <t>N26 Standard / &lt;18</t>
  </si>
  <si>
    <t>Revolut Standard / &lt;18</t>
  </si>
  <si>
    <t>BAWAG B4-19 Kontobox</t>
  </si>
  <si>
    <t>BAWAG Studenten Kontobox</t>
  </si>
  <si>
    <t>Filialen:</t>
  </si>
  <si>
    <t>Bonus (1-5)</t>
  </si>
  <si>
    <t>Jugendkonto-Markt: Insights &amp; Analyse</t>
  </si>
  <si>
    <t>Vergleich österreichischer Jugendkonten anhand von Bonus, Digitalisierung und Services</t>
  </si>
  <si>
    <t>Höchster Eröffnungsbonus:</t>
  </si>
  <si>
    <t>Längste kostenlose Nutzung:</t>
  </si>
  <si>
    <t>Beste App-Bewertung:</t>
  </si>
  <si>
    <t>Bestes Investing-Angebot:</t>
  </si>
  <si>
    <t>(Sachbonus)</t>
  </si>
  <si>
    <t>App-Stärke</t>
  </si>
  <si>
    <t>Investing</t>
  </si>
  <si>
    <t xml:space="preserve">Events </t>
  </si>
  <si>
    <t>Filialen</t>
  </si>
  <si>
    <t>1. Unterschiedliche Wettbewerbsstrategien</t>
  </si>
  <si>
    <t>Die verglichenen Banken verfolgen unterschiedliche Strategien, um junge Kund:innen zu gewinnen. Während einige Banken mit einer starken App und Investing-Funktionen überzeugen, setzen andere auf Filialnetz, Event-Vorteile oder Eröffnungsboni.</t>
  </si>
  <si>
    <t>2. Digitalisierung als wichtiger Wettbewerbsfaktor</t>
  </si>
  <si>
    <t>spark7, das Erste Studentenkonto, N26 und Revolut erreichen die höchste App-Bewertung (5/5). Dies zeigt, dass eine moderne und benutzerfreundliche Banking-App ein zentraler Erfolgsfaktor im Wettbewerb um junge Kund:innen ist.</t>
  </si>
  <si>
    <t>3. Eröffnungsbonus allein entscheidet nicht</t>
  </si>
  <si>
    <t>Die Eröffnungsboni reichen von 0 € bis 100 €. Für die Gesamtbewertung eines Kontos sind jedoch auch Faktoren wie App-Qualität, Investing-Möglichkeiten, Event-Vorteile und Filialnetz entscheidend.</t>
  </si>
  <si>
    <t>Insights:</t>
  </si>
  <si>
    <t>Schüler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</si>
</sst>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€-2]\ * #,##0.00_);_([$€-2]\ * \(#,##0.00\);_([$€-2]\ * &quot;-&quot;??_);_(@_)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26"/>
      <color theme="6" tint="-0.499984740745262"/>
      <name val="Aptos Narrow"/>
      <scheme val="minor"/>
    </font>
    <font>
      <b/>
      <sz val="14"/>
      <color theme="6" tint="0.79998168889431442"/>
      <name val="Aptos Narrow"/>
      <scheme val="minor"/>
    </font>
    <font>
      <b/>
      <sz val="14"/>
      <color theme="6" tint="-0.499984740745262"/>
      <name val="Aptos Narrow"/>
      <scheme val="minor"/>
    </font>
    <font>
      <b/>
      <sz val="28"/>
      <color theme="6" tint="-0.499984740745262"/>
      <name val="Aptos Narrow"/>
      <scheme val="minor"/>
    </font>
    <font>
      <b/>
      <sz val="16"/>
      <color theme="6" tint="-0.499984740745262"/>
      <name val="Aptos Narrow"/>
      <scheme val="minor"/>
    </font>
    <font>
      <b/>
      <sz val="12"/>
      <color theme="6" tint="-0.499984740745262"/>
      <name val="Aptos Narrow"/>
      <scheme val="minor"/>
    </font>
    <font>
      <sz val="12"/>
      <color theme="6" tint="-0.499984740745262"/>
      <name val="Aptos Narrow"/>
      <scheme val="minor"/>
    </font>
    <font>
      <sz val="28"/>
      <color theme="1"/>
      <name val="Aptos Narrow"/>
      <scheme val="minor"/>
    </font>
    <font>
      <sz val="14"/>
      <color theme="6" tint="-0.499984740745262"/>
      <name val="Aptos Narrow"/>
      <scheme val="minor"/>
    </font>
    <font>
      <b/>
      <sz val="20"/>
      <color theme="6" tint="-0.499984740745262"/>
      <name val="Aptos"/>
    </font>
    <font>
      <sz val="14"/>
      <color theme="1"/>
      <name val="Aptos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ck">
        <color theme="6" tint="-0.499984740745262"/>
      </left>
      <right style="thick">
        <color theme="6" tint="-0.499984740745262"/>
      </right>
      <top style="thick">
        <color theme="6" tint="-0.499984740745262"/>
      </top>
      <bottom style="thick">
        <color theme="6" tint="-0.499984740745262"/>
      </bottom>
      <diagonal/>
    </border>
    <border>
      <left style="thick">
        <color theme="6"/>
      </left>
      <right/>
      <top style="thick">
        <color theme="6"/>
      </top>
      <bottom/>
      <diagonal/>
    </border>
    <border>
      <left/>
      <right style="thick">
        <color theme="6"/>
      </right>
      <top style="thick">
        <color theme="6"/>
      </top>
      <bottom/>
      <diagonal/>
    </border>
    <border>
      <left style="thick">
        <color theme="6"/>
      </left>
      <right/>
      <top/>
      <bottom/>
      <diagonal/>
    </border>
    <border>
      <left/>
      <right style="thick">
        <color theme="6"/>
      </right>
      <top/>
      <bottom/>
      <diagonal/>
    </border>
    <border>
      <left style="thick">
        <color theme="6"/>
      </left>
      <right/>
      <top/>
      <bottom style="thick">
        <color theme="6"/>
      </bottom>
      <diagonal/>
    </border>
    <border>
      <left/>
      <right style="thick">
        <color theme="6"/>
      </right>
      <top/>
      <bottom style="thick">
        <color theme="6"/>
      </bottom>
      <diagonal/>
    </border>
    <border>
      <left/>
      <right/>
      <top style="thick">
        <color theme="6" tint="-0.499984740745262"/>
      </top>
      <bottom style="thick">
        <color indexed="64"/>
      </bottom>
      <diagonal/>
    </border>
    <border>
      <left/>
      <right style="thick">
        <color theme="6" tint="-0.499984740745262"/>
      </right>
      <top style="thick">
        <color theme="6" tint="-0.499984740745262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164" fontId="0" fillId="0" borderId="0" xfId="0" applyNumberFormat="1"/>
    <xf numFmtId="0" fontId="6" fillId="0" borderId="0" xfId="0" applyFont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7" xfId="0" applyFont="1" applyFill="1" applyBorder="1"/>
    <xf numFmtId="2" fontId="3" fillId="2" borderId="8" xfId="0" applyNumberFormat="1" applyFont="1" applyFill="1" applyBorder="1" applyAlignment="1">
      <alignment horizontal="center" vertical="center"/>
    </xf>
    <xf numFmtId="0" fontId="3" fillId="2" borderId="9" xfId="0" applyFont="1" applyFill="1" applyBorder="1"/>
    <xf numFmtId="164" fontId="3" fillId="2" borderId="10" xfId="0" applyNumberFormat="1" applyFont="1" applyFill="1" applyBorder="1"/>
    <xf numFmtId="0" fontId="8" fillId="0" borderId="0" xfId="0" applyFont="1"/>
    <xf numFmtId="0" fontId="7" fillId="0" borderId="0" xfId="0" applyFont="1"/>
    <xf numFmtId="0" fontId="9" fillId="0" borderId="11" xfId="0" applyFont="1" applyBorder="1"/>
    <xf numFmtId="0" fontId="9" fillId="0" borderId="12" xfId="0" applyFont="1" applyBorder="1"/>
    <xf numFmtId="2" fontId="4" fillId="0" borderId="0" xfId="1" applyNumberFormat="1" applyFont="1" applyBorder="1"/>
    <xf numFmtId="0" fontId="12" fillId="0" borderId="0" xfId="0" applyFont="1"/>
    <xf numFmtId="0" fontId="9" fillId="0" borderId="0" xfId="0" applyFont="1" applyAlignment="1">
      <alignment vertical="top"/>
    </xf>
    <xf numFmtId="0" fontId="11" fillId="0" borderId="0" xfId="0" applyFont="1"/>
    <xf numFmtId="0" fontId="9" fillId="0" borderId="0" xfId="0" applyFont="1" applyAlignment="1">
      <alignment horizontal="center" vertical="center"/>
    </xf>
    <xf numFmtId="0" fontId="10" fillId="3" borderId="0" xfId="0" applyFont="1" applyFill="1"/>
    <xf numFmtId="0" fontId="9" fillId="0" borderId="4" xfId="0" applyFont="1" applyBorder="1"/>
    <xf numFmtId="0" fontId="11" fillId="0" borderId="13" xfId="0" applyFont="1" applyBorder="1"/>
    <xf numFmtId="2" fontId="4" fillId="0" borderId="14" xfId="1" applyNumberFormat="1" applyFont="1" applyBorder="1"/>
    <xf numFmtId="164" fontId="11" fillId="0" borderId="14" xfId="0" applyNumberFormat="1" applyFont="1" applyBorder="1"/>
    <xf numFmtId="0" fontId="11" fillId="0" borderId="15" xfId="0" applyFont="1" applyBorder="1"/>
    <xf numFmtId="164" fontId="11" fillId="0" borderId="0" xfId="0" applyNumberFormat="1" applyFont="1"/>
    <xf numFmtId="0" fontId="9" fillId="0" borderId="0" xfId="0" applyFont="1"/>
    <xf numFmtId="0" fontId="13" fillId="0" borderId="0" xfId="0" applyFont="1"/>
    <xf numFmtId="164" fontId="13" fillId="0" borderId="0" xfId="0" applyNumberFormat="1" applyFont="1"/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3" fillId="0" borderId="0" xfId="0" applyFont="1" applyAlignment="1">
      <alignment horizontal="left" vertical="top" wrapText="1"/>
    </xf>
  </cellXfs>
  <cellStyles count="2">
    <cellStyle name="Currency" xfId="1" builtinId="4"/>
    <cellStyle name="Normal" xfId="0" builtinId="0"/>
  </cellStyles>
  <dxfs count="18">
    <dxf>
      <font>
        <b val="0"/>
        <i/>
        <color theme="0" tint="-0.499984740745262"/>
      </font>
      <fill>
        <patternFill>
          <bgColor theme="0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Eröffnungsboni österreichischer Jugendkonten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Insights!$B$11</c:f>
              <c:strCache>
                <c:ptCount val="1"/>
                <c:pt idx="0">
                  <c:v>Eröffnungsbonus €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Insights!$A$12:$A$23</c:f>
              <c:strCache>
                <c:ptCount val="12"/>
                <c:pt idx="0">
                  <c:v>spark7</c:v>
                </c:pt>
                <c:pt idx="1">
                  <c:v>Erste Studentenkonto</c:v>
                </c:pt>
                <c:pt idx="2">
                  <c:v>Raiffeisen Jugendkonto</c:v>
                </c:pt>
                <c:pt idx="3">
                  <c:v>Raiffeisen Studentenkonto</c:v>
                </c:pt>
                <c:pt idx="4">
                  <c:v>MegaCard</c:v>
                </c:pt>
                <c:pt idx="5">
                  <c:v>GoGreen Studenten</c:v>
                </c:pt>
                <c:pt idx="6">
                  <c:v>BAWAG B4-19 KontoBox</c:v>
                </c:pt>
                <c:pt idx="7">
                  <c:v>BAWAG Studenten KontoBox</c:v>
                </c:pt>
                <c:pt idx="8">
                  <c:v>easy youth</c:v>
                </c:pt>
                <c:pt idx="9">
                  <c:v>bank99 Jugendkonto</c:v>
                </c:pt>
                <c:pt idx="10">
                  <c:v>N26 Standard / &lt;18</c:v>
                </c:pt>
                <c:pt idx="11">
                  <c:v>Revolut Standard / &lt;18</c:v>
                </c:pt>
              </c:strCache>
            </c:strRef>
          </c:cat>
          <c:val>
            <c:numRef>
              <c:f>Insights!$B$12:$B$23</c:f>
              <c:numCache>
                <c:formatCode>_([$€-2]\ * #,##0.00_);_([$€-2]\ * \(#,##0.00\);_([$€-2]\ * "-"??_);_(@_)</c:formatCode>
                <c:ptCount val="12"/>
                <c:pt idx="0">
                  <c:v>20</c:v>
                </c:pt>
                <c:pt idx="1">
                  <c:v>100</c:v>
                </c:pt>
                <c:pt idx="2" formatCode="General">
                  <c:v>0</c:v>
                </c:pt>
                <c:pt idx="3">
                  <c:v>0</c:v>
                </c:pt>
                <c:pt idx="4">
                  <c:v>40</c:v>
                </c:pt>
                <c:pt idx="5">
                  <c:v>70</c:v>
                </c:pt>
                <c:pt idx="6">
                  <c:v>50</c:v>
                </c:pt>
                <c:pt idx="7">
                  <c:v>0</c:v>
                </c:pt>
                <c:pt idx="8">
                  <c:v>50</c:v>
                </c:pt>
                <c:pt idx="9">
                  <c:v>50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A-904E-8A38-5705CBAA0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35903551"/>
        <c:axId val="1335914303"/>
      </c:barChart>
      <c:catAx>
        <c:axId val="1335903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914303"/>
        <c:crosses val="autoZero"/>
        <c:auto val="1"/>
        <c:lblAlgn val="ctr"/>
        <c:lblOffset val="100"/>
        <c:noMultiLvlLbl val="0"/>
      </c:catAx>
      <c:valAx>
        <c:axId val="133591430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€-2]\ * #,##0.00_);_([$€-2]\ * \(#,##0.00\);_([$€-2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903551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Digitale</a:t>
            </a:r>
            <a:r>
              <a:rPr lang="en-US" baseline="0"/>
              <a:t> Stärke &amp; Investment-Angebot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Insights!$B$26</c:f>
              <c:strCache>
                <c:ptCount val="1"/>
                <c:pt idx="0">
                  <c:v>App-Stärke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76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shade val="76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shade val="76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76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Insights!$A$27:$A$38</c:f>
              <c:strCache>
                <c:ptCount val="12"/>
                <c:pt idx="0">
                  <c:v>spark7</c:v>
                </c:pt>
                <c:pt idx="1">
                  <c:v>Erste Studentenkonto</c:v>
                </c:pt>
                <c:pt idx="2">
                  <c:v>Raiffeisen Jugendkonto</c:v>
                </c:pt>
                <c:pt idx="3">
                  <c:v>Raiffeisen Studentenkonto</c:v>
                </c:pt>
                <c:pt idx="4">
                  <c:v>MegaCard</c:v>
                </c:pt>
                <c:pt idx="5">
                  <c:v>GoGreen Studenten</c:v>
                </c:pt>
                <c:pt idx="6">
                  <c:v>BAWAG B4-19 KontoBox</c:v>
                </c:pt>
                <c:pt idx="7">
                  <c:v>BAWAG Studenten KontoBox</c:v>
                </c:pt>
                <c:pt idx="8">
                  <c:v>easy youth</c:v>
                </c:pt>
                <c:pt idx="9">
                  <c:v>bank99 Jugendkonto</c:v>
                </c:pt>
                <c:pt idx="10">
                  <c:v>N26 Standard / &lt;18</c:v>
                </c:pt>
                <c:pt idx="11">
                  <c:v>Revolut Standard / &lt;18</c:v>
                </c:pt>
              </c:strCache>
            </c:strRef>
          </c:cat>
          <c:val>
            <c:numRef>
              <c:f>Insights!$B$27:$B$38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3-E24F-8A0C-E59E3D8B5C0C}"/>
            </c:ext>
          </c:extLst>
        </c:ser>
        <c:ser>
          <c:idx val="1"/>
          <c:order val="1"/>
          <c:tx>
            <c:strRef>
              <c:f>Insights!$C$26</c:f>
              <c:strCache>
                <c:ptCount val="1"/>
                <c:pt idx="0">
                  <c:v>Investing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77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tint val="77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tint val="77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tint val="77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Insights!$A$27:$A$38</c:f>
              <c:strCache>
                <c:ptCount val="12"/>
                <c:pt idx="0">
                  <c:v>spark7</c:v>
                </c:pt>
                <c:pt idx="1">
                  <c:v>Erste Studentenkonto</c:v>
                </c:pt>
                <c:pt idx="2">
                  <c:v>Raiffeisen Jugendkonto</c:v>
                </c:pt>
                <c:pt idx="3">
                  <c:v>Raiffeisen Studentenkonto</c:v>
                </c:pt>
                <c:pt idx="4">
                  <c:v>MegaCard</c:v>
                </c:pt>
                <c:pt idx="5">
                  <c:v>GoGreen Studenten</c:v>
                </c:pt>
                <c:pt idx="6">
                  <c:v>BAWAG B4-19 KontoBox</c:v>
                </c:pt>
                <c:pt idx="7">
                  <c:v>BAWAG Studenten KontoBox</c:v>
                </c:pt>
                <c:pt idx="8">
                  <c:v>easy youth</c:v>
                </c:pt>
                <c:pt idx="9">
                  <c:v>bank99 Jugendkonto</c:v>
                </c:pt>
                <c:pt idx="10">
                  <c:v>N26 Standard / &lt;18</c:v>
                </c:pt>
                <c:pt idx="11">
                  <c:v>Revolut Standard / &lt;18</c:v>
                </c:pt>
              </c:strCache>
            </c:strRef>
          </c:cat>
          <c:val>
            <c:numRef>
              <c:f>Insights!$C$27:$C$38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53-E24F-8A0C-E59E3D8B5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35942143"/>
        <c:axId val="1335939007"/>
      </c:barChart>
      <c:catAx>
        <c:axId val="133594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939007"/>
        <c:crosses val="autoZero"/>
        <c:auto val="1"/>
        <c:lblAlgn val="ctr"/>
        <c:lblOffset val="100"/>
        <c:noMultiLvlLbl val="0"/>
      </c:catAx>
      <c:valAx>
        <c:axId val="133593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94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Stärkenprofil</a:t>
            </a:r>
            <a:r>
              <a:rPr lang="en-US" baseline="0"/>
              <a:t> der Jugendkonten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Insights!$B$40</c:f>
              <c:strCache>
                <c:ptCount val="1"/>
                <c:pt idx="0">
                  <c:v>App-Stärke</c:v>
                </c:pt>
              </c:strCache>
            </c:strRef>
          </c:tx>
          <c:spPr>
            <a:ln w="50800" cap="rnd" cmpd="sng" algn="ctr">
              <a:solidFill>
                <a:schemeClr val="accent1">
                  <a:alpha val="3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12700" cap="flat" cmpd="sng" algn="ctr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Insights!$A$41:$A$52</c:f>
              <c:strCache>
                <c:ptCount val="12"/>
                <c:pt idx="0">
                  <c:v>spark7</c:v>
                </c:pt>
                <c:pt idx="1">
                  <c:v>Erste Studentenkonto</c:v>
                </c:pt>
                <c:pt idx="2">
                  <c:v>Raiffeisen Jugendkonto</c:v>
                </c:pt>
                <c:pt idx="3">
                  <c:v>Raiffeisen Studentenkonto</c:v>
                </c:pt>
                <c:pt idx="4">
                  <c:v>MegaCard</c:v>
                </c:pt>
                <c:pt idx="5">
                  <c:v>GoGreen Studenten</c:v>
                </c:pt>
                <c:pt idx="6">
                  <c:v>BAWAG B4-19 KontoBox</c:v>
                </c:pt>
                <c:pt idx="7">
                  <c:v>BAWAG Studenten KontoBox</c:v>
                </c:pt>
                <c:pt idx="8">
                  <c:v>easy youth</c:v>
                </c:pt>
                <c:pt idx="9">
                  <c:v>bank99 Jugendkonto</c:v>
                </c:pt>
                <c:pt idx="10">
                  <c:v>N26 Standard / &lt;18</c:v>
                </c:pt>
                <c:pt idx="11">
                  <c:v>Revolut Standard / &lt;18</c:v>
                </c:pt>
              </c:strCache>
            </c:strRef>
          </c:cat>
          <c:val>
            <c:numRef>
              <c:f>Insights!$B$41:$B$52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B-8D41-8E91-ED39E2953ED2}"/>
            </c:ext>
          </c:extLst>
        </c:ser>
        <c:ser>
          <c:idx val="1"/>
          <c:order val="1"/>
          <c:tx>
            <c:strRef>
              <c:f>Insights!$C$40</c:f>
              <c:strCache>
                <c:ptCount val="1"/>
                <c:pt idx="0">
                  <c:v>Investing</c:v>
                </c:pt>
              </c:strCache>
            </c:strRef>
          </c:tx>
          <c:spPr>
            <a:ln w="50800" cap="rnd" cmpd="sng" algn="ctr">
              <a:solidFill>
                <a:schemeClr val="accent2">
                  <a:alpha val="3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2700" cap="flat" cmpd="sng" algn="ctr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Insights!$A$41:$A$52</c:f>
              <c:strCache>
                <c:ptCount val="12"/>
                <c:pt idx="0">
                  <c:v>spark7</c:v>
                </c:pt>
                <c:pt idx="1">
                  <c:v>Erste Studentenkonto</c:v>
                </c:pt>
                <c:pt idx="2">
                  <c:v>Raiffeisen Jugendkonto</c:v>
                </c:pt>
                <c:pt idx="3">
                  <c:v>Raiffeisen Studentenkonto</c:v>
                </c:pt>
                <c:pt idx="4">
                  <c:v>MegaCard</c:v>
                </c:pt>
                <c:pt idx="5">
                  <c:v>GoGreen Studenten</c:v>
                </c:pt>
                <c:pt idx="6">
                  <c:v>BAWAG B4-19 KontoBox</c:v>
                </c:pt>
                <c:pt idx="7">
                  <c:v>BAWAG Studenten KontoBox</c:v>
                </c:pt>
                <c:pt idx="8">
                  <c:v>easy youth</c:v>
                </c:pt>
                <c:pt idx="9">
                  <c:v>bank99 Jugendkonto</c:v>
                </c:pt>
                <c:pt idx="10">
                  <c:v>N26 Standard / &lt;18</c:v>
                </c:pt>
                <c:pt idx="11">
                  <c:v>Revolut Standard / &lt;18</c:v>
                </c:pt>
              </c:strCache>
            </c:strRef>
          </c:cat>
          <c:val>
            <c:numRef>
              <c:f>Insights!$C$41:$C$52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5B-8D41-8E91-ED39E2953ED2}"/>
            </c:ext>
          </c:extLst>
        </c:ser>
        <c:ser>
          <c:idx val="2"/>
          <c:order val="2"/>
          <c:tx>
            <c:strRef>
              <c:f>Insights!$D$40</c:f>
              <c:strCache>
                <c:ptCount val="1"/>
                <c:pt idx="0">
                  <c:v>Bonus</c:v>
                </c:pt>
              </c:strCache>
            </c:strRef>
          </c:tx>
          <c:spPr>
            <a:ln w="50800" cap="rnd" cmpd="sng" algn="ctr">
              <a:solidFill>
                <a:schemeClr val="accent3">
                  <a:alpha val="3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12700" cap="flat" cmpd="sng" algn="ctr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Insights!$A$41:$A$52</c:f>
              <c:strCache>
                <c:ptCount val="12"/>
                <c:pt idx="0">
                  <c:v>spark7</c:v>
                </c:pt>
                <c:pt idx="1">
                  <c:v>Erste Studentenkonto</c:v>
                </c:pt>
                <c:pt idx="2">
                  <c:v>Raiffeisen Jugendkonto</c:v>
                </c:pt>
                <c:pt idx="3">
                  <c:v>Raiffeisen Studentenkonto</c:v>
                </c:pt>
                <c:pt idx="4">
                  <c:v>MegaCard</c:v>
                </c:pt>
                <c:pt idx="5">
                  <c:v>GoGreen Studenten</c:v>
                </c:pt>
                <c:pt idx="6">
                  <c:v>BAWAG B4-19 KontoBox</c:v>
                </c:pt>
                <c:pt idx="7">
                  <c:v>BAWAG Studenten KontoBox</c:v>
                </c:pt>
                <c:pt idx="8">
                  <c:v>easy youth</c:v>
                </c:pt>
                <c:pt idx="9">
                  <c:v>bank99 Jugendkonto</c:v>
                </c:pt>
                <c:pt idx="10">
                  <c:v>N26 Standard / &lt;18</c:v>
                </c:pt>
                <c:pt idx="11">
                  <c:v>Revolut Standard / &lt;18</c:v>
                </c:pt>
              </c:strCache>
            </c:strRef>
          </c:cat>
          <c:val>
            <c:numRef>
              <c:f>Insights!$D$41:$D$52</c:f>
              <c:numCache>
                <c:formatCode>General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4</c:v>
                </c:pt>
                <c:pt idx="3">
                  <c:v>0</c:v>
                </c:pt>
                <c:pt idx="4">
                  <c:v>3</c:v>
                </c:pt>
                <c:pt idx="5">
                  <c:v>4.5</c:v>
                </c:pt>
                <c:pt idx="6">
                  <c:v>4</c:v>
                </c:pt>
                <c:pt idx="7">
                  <c:v>0</c:v>
                </c:pt>
                <c:pt idx="8">
                  <c:v>4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5B-8D41-8E91-ED39E2953ED2}"/>
            </c:ext>
          </c:extLst>
        </c:ser>
        <c:ser>
          <c:idx val="3"/>
          <c:order val="3"/>
          <c:tx>
            <c:strRef>
              <c:f>Insights!$E$40</c:f>
              <c:strCache>
                <c:ptCount val="1"/>
                <c:pt idx="0">
                  <c:v>Events </c:v>
                </c:pt>
              </c:strCache>
            </c:strRef>
          </c:tx>
          <c:spPr>
            <a:ln w="50800" cap="rnd" cmpd="sng" algn="ctr">
              <a:solidFill>
                <a:schemeClr val="accent4">
                  <a:alpha val="3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12700" cap="flat" cmpd="sng" algn="ctr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Insights!$A$41:$A$52</c:f>
              <c:strCache>
                <c:ptCount val="12"/>
                <c:pt idx="0">
                  <c:v>spark7</c:v>
                </c:pt>
                <c:pt idx="1">
                  <c:v>Erste Studentenkonto</c:v>
                </c:pt>
                <c:pt idx="2">
                  <c:v>Raiffeisen Jugendkonto</c:v>
                </c:pt>
                <c:pt idx="3">
                  <c:v>Raiffeisen Studentenkonto</c:v>
                </c:pt>
                <c:pt idx="4">
                  <c:v>MegaCard</c:v>
                </c:pt>
                <c:pt idx="5">
                  <c:v>GoGreen Studenten</c:v>
                </c:pt>
                <c:pt idx="6">
                  <c:v>BAWAG B4-19 KontoBox</c:v>
                </c:pt>
                <c:pt idx="7">
                  <c:v>BAWAG Studenten KontoBox</c:v>
                </c:pt>
                <c:pt idx="8">
                  <c:v>easy youth</c:v>
                </c:pt>
                <c:pt idx="9">
                  <c:v>bank99 Jugendkonto</c:v>
                </c:pt>
                <c:pt idx="10">
                  <c:v>N26 Standard / &lt;18</c:v>
                </c:pt>
                <c:pt idx="11">
                  <c:v>Revolut Standard / &lt;18</c:v>
                </c:pt>
              </c:strCache>
            </c:strRef>
          </c:cat>
          <c:val>
            <c:numRef>
              <c:f>Insights!$E$41:$E$52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5B-8D41-8E91-ED39E2953ED2}"/>
            </c:ext>
          </c:extLst>
        </c:ser>
        <c:ser>
          <c:idx val="4"/>
          <c:order val="4"/>
          <c:tx>
            <c:strRef>
              <c:f>Insights!$F$40</c:f>
              <c:strCache>
                <c:ptCount val="1"/>
                <c:pt idx="0">
                  <c:v>Filialen</c:v>
                </c:pt>
              </c:strCache>
            </c:strRef>
          </c:tx>
          <c:spPr>
            <a:ln w="50800" cap="rnd" cmpd="sng" algn="ctr">
              <a:solidFill>
                <a:schemeClr val="accent5">
                  <a:alpha val="3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12700" cap="flat" cmpd="sng" algn="ctr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Insights!$A$41:$A$52</c:f>
              <c:strCache>
                <c:ptCount val="12"/>
                <c:pt idx="0">
                  <c:v>spark7</c:v>
                </c:pt>
                <c:pt idx="1">
                  <c:v>Erste Studentenkonto</c:v>
                </c:pt>
                <c:pt idx="2">
                  <c:v>Raiffeisen Jugendkonto</c:v>
                </c:pt>
                <c:pt idx="3">
                  <c:v>Raiffeisen Studentenkonto</c:v>
                </c:pt>
                <c:pt idx="4">
                  <c:v>MegaCard</c:v>
                </c:pt>
                <c:pt idx="5">
                  <c:v>GoGreen Studenten</c:v>
                </c:pt>
                <c:pt idx="6">
                  <c:v>BAWAG B4-19 KontoBox</c:v>
                </c:pt>
                <c:pt idx="7">
                  <c:v>BAWAG Studenten KontoBox</c:v>
                </c:pt>
                <c:pt idx="8">
                  <c:v>easy youth</c:v>
                </c:pt>
                <c:pt idx="9">
                  <c:v>bank99 Jugendkonto</c:v>
                </c:pt>
                <c:pt idx="10">
                  <c:v>N26 Standard / &lt;18</c:v>
                </c:pt>
                <c:pt idx="11">
                  <c:v>Revolut Standard / &lt;18</c:v>
                </c:pt>
              </c:strCache>
            </c:strRef>
          </c:cat>
          <c:val>
            <c:numRef>
              <c:f>Insights!$F$41:$F$52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5B-8D41-8E91-ED39E2953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517567"/>
        <c:axId val="1331519359"/>
      </c:radarChart>
      <c:catAx>
        <c:axId val="133151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519359"/>
        <c:crosses val="autoZero"/>
        <c:auto val="1"/>
        <c:lblAlgn val="ctr"/>
        <c:lblOffset val="100"/>
        <c:noMultiLvlLbl val="0"/>
      </c:catAx>
      <c:valAx>
        <c:axId val="133151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51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762000</xdr:colOff>
      <xdr:row>9</xdr:row>
      <xdr:rowOff>177800</xdr:rowOff>
    </xdr:from>
    <xdr:to>
      <xdr:col>9</xdr:col>
      <xdr:colOff>742950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5BE047-BE33-FAED-EB11-2BB62FC85B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698500</xdr:colOff>
      <xdr:row>25</xdr:row>
      <xdr:rowOff>88900</xdr:rowOff>
    </xdr:from>
    <xdr:to>
      <xdr:col>9</xdr:col>
      <xdr:colOff>279400</xdr:colOff>
      <xdr:row>36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4D18DD-89DA-0723-6B11-2A2F1CE92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266700</xdr:colOff>
      <xdr:row>40</xdr:row>
      <xdr:rowOff>50800</xdr:rowOff>
    </xdr:from>
    <xdr:to>
      <xdr:col>12</xdr:col>
      <xdr:colOff>711200</xdr:colOff>
      <xdr:row>51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41105D-B2B6-589C-D70B-0E0694A33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3D5D95-DDCB-E545-B70A-B815A6D0D70A}" name="tblKonten" displayName="tblKonten" ref="A1:M13" totalsRowShown="0" headerRowDxfId="17" dataDxfId="15" headerRowBorderDxfId="16" tableBorderDxfId="14">
  <autoFilter ref="A1:M13" xr:uid="{483D5D95-DDCB-E545-B70A-B815A6D0D70A}"/>
  <tableColumns count="13">
    <tableColumn id="1" xr3:uid="{9C99D8E3-67A3-144D-8FE7-71C5341A7597}" name="Bank" dataDxfId="13"/>
    <tableColumn id="2" xr3:uid="{665AF534-DE84-2B46-91CB-7059D02B38C5}" name="Konto" dataDxfId="12"/>
    <tableColumn id="3" xr3:uid="{8C389047-3538-D74B-A155-7B49E4B99A02}" name="Alter von" dataDxfId="11"/>
    <tableColumn id="4" xr3:uid="{B02EB34D-A6A1-DE42-B52D-09EF81B369CE}" name="Alter bis" dataDxfId="10"/>
    <tableColumn id="5" xr3:uid="{981AD3A6-90B6-F64E-BD01-A6DCEF9CDCD4}" name="Kontoführung €/Jahr" dataDxfId="9"/>
    <tableColumn id="6" xr3:uid="{0646BB81-8A01-A147-A84F-3DD3202F0A5F}" name="Eröffnungsbonus €" dataDxfId="8"/>
    <tableColumn id="13" xr3:uid="{F417DE62-6A7A-9A47-BDA7-079B394F437C}" name="Bonus (1-5)" dataDxfId="7"/>
    <tableColumn id="7" xr3:uid="{C7549082-3E13-E843-9EF4-B0B3F8A6EBAD}" name="Bonus-Bedingung" dataDxfId="6"/>
    <tableColumn id="8" xr3:uid="{4AE25877-50A5-C644-A343-D8F1B9DCA7A0}" name="Ticket-/Eventrabatte (1–5)" dataDxfId="5"/>
    <tableColumn id="9" xr3:uid="{2E160E9B-12AC-F543-BC23-495994E74A94}" name="App-Stärke (1–5)" dataDxfId="4"/>
    <tableColumn id="10" xr3:uid="{188EE275-0F7B-4B4B-B3F2-80396D159BF5}" name="Filialnetz (1–5)" dataDxfId="3"/>
    <tableColumn id="11" xr3:uid="{DE27364F-ECA1-5D4C-97FA-6A15B4B1EDCA}" name="Investing (1–5)" dataDxfId="2"/>
    <tableColumn id="12" xr3:uid="{43CAAA21-7AF7-914B-B8A5-C6FCE47403CB}" name="Gratis bis Alter" dataDxfId="1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69413-8C45-CE49-B395-2707B46F85D3}">
  <dimension ref="A1:M13"/>
  <sheetViews>
    <sheetView zoomScale="57" workbookViewId="0">
      <selection activeCell="E6" sqref="E6"/>
    </sheetView>
  </sheetViews>
  <sheetFormatPr baseColWidth="10" defaultRowHeight="16" x14ac:dyDescent="0.2"/>
  <cols>
    <col min="1" max="1" width="18" customWidth="1"/>
    <col min="2" max="2" width="20" customWidth="1"/>
    <col min="3" max="3" width="23.33203125" bestFit="1" customWidth="1"/>
    <col min="4" max="4" width="22.6640625" bestFit="1" customWidth="1"/>
    <col min="5" max="5" width="26.33203125" customWidth="1"/>
    <col min="6" max="6" width="29.83203125" customWidth="1"/>
    <col min="7" max="7" width="22.5" customWidth="1"/>
    <col min="8" max="8" width="24.1640625" customWidth="1"/>
    <col min="9" max="9" width="27.5" customWidth="1"/>
    <col min="10" max="10" width="18.6640625" customWidth="1"/>
    <col min="11" max="12" width="17" customWidth="1"/>
    <col min="13" max="13" width="17.5" customWidth="1"/>
  </cols>
  <sheetData>
    <row r="1" spans="1:13" ht="53" customHeight="1" thickBot="1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63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30" t="s">
        <v>11</v>
      </c>
    </row>
    <row r="2" spans="1:13" ht="37" customHeight="1" thickBot="1" x14ac:dyDescent="0.25">
      <c r="A2" s="31" t="s">
        <v>12</v>
      </c>
      <c r="B2" s="31" t="s">
        <v>13</v>
      </c>
      <c r="C2" s="31">
        <v>10</v>
      </c>
      <c r="D2" s="31">
        <v>19</v>
      </c>
      <c r="E2" s="31">
        <v>0</v>
      </c>
      <c r="F2" s="31">
        <v>20</v>
      </c>
      <c r="G2" s="31">
        <v>2</v>
      </c>
      <c r="H2" s="31" t="s">
        <v>14</v>
      </c>
      <c r="I2" s="31">
        <v>4</v>
      </c>
      <c r="J2" s="31">
        <v>5</v>
      </c>
      <c r="K2" s="31">
        <v>4</v>
      </c>
      <c r="L2" s="31">
        <v>5</v>
      </c>
      <c r="M2" s="32">
        <v>19</v>
      </c>
    </row>
    <row r="3" spans="1:13" ht="41" thickBot="1" x14ac:dyDescent="0.25">
      <c r="A3" s="31" t="s">
        <v>12</v>
      </c>
      <c r="B3" s="31" t="s">
        <v>47</v>
      </c>
      <c r="C3" s="31">
        <v>18</v>
      </c>
      <c r="D3" s="31">
        <v>27</v>
      </c>
      <c r="E3" s="31">
        <v>0</v>
      </c>
      <c r="F3" s="31">
        <v>100</v>
      </c>
      <c r="G3" s="31">
        <v>5</v>
      </c>
      <c r="H3" s="31" t="s">
        <v>15</v>
      </c>
      <c r="I3" s="31">
        <v>4</v>
      </c>
      <c r="J3" s="31">
        <v>5</v>
      </c>
      <c r="K3" s="31">
        <v>4</v>
      </c>
      <c r="L3" s="31">
        <v>5</v>
      </c>
      <c r="M3" s="32">
        <v>27</v>
      </c>
    </row>
    <row r="4" spans="1:13" ht="41" thickBot="1" x14ac:dyDescent="0.25">
      <c r="A4" s="31" t="s">
        <v>16</v>
      </c>
      <c r="B4" s="31" t="s">
        <v>49</v>
      </c>
      <c r="C4" s="31">
        <v>14</v>
      </c>
      <c r="D4" s="31">
        <v>19</v>
      </c>
      <c r="E4" s="31">
        <v>0</v>
      </c>
      <c r="F4" s="31" t="s">
        <v>33</v>
      </c>
      <c r="G4" s="31">
        <v>4</v>
      </c>
      <c r="H4" s="31" t="s">
        <v>17</v>
      </c>
      <c r="I4" s="31">
        <v>5</v>
      </c>
      <c r="J4" s="31">
        <v>3</v>
      </c>
      <c r="K4" s="31">
        <v>5</v>
      </c>
      <c r="L4" s="31">
        <v>3</v>
      </c>
      <c r="M4" s="32">
        <v>19</v>
      </c>
    </row>
    <row r="5" spans="1:13" ht="41" thickBot="1" x14ac:dyDescent="0.25">
      <c r="A5" s="31" t="s">
        <v>16</v>
      </c>
      <c r="B5" s="31" t="s">
        <v>48</v>
      </c>
      <c r="C5" s="31">
        <v>18</v>
      </c>
      <c r="D5" s="31">
        <v>27</v>
      </c>
      <c r="E5" s="31">
        <v>0</v>
      </c>
      <c r="F5" s="31">
        <v>0</v>
      </c>
      <c r="G5" s="31">
        <v>0</v>
      </c>
      <c r="H5" s="31" t="s">
        <v>18</v>
      </c>
      <c r="I5" s="31">
        <v>5</v>
      </c>
      <c r="J5" s="31">
        <v>3</v>
      </c>
      <c r="K5" s="31">
        <v>5</v>
      </c>
      <c r="L5" s="31">
        <v>3</v>
      </c>
      <c r="M5" s="32">
        <v>27</v>
      </c>
    </row>
    <row r="6" spans="1:13" ht="41" customHeight="1" thickBot="1" x14ac:dyDescent="0.25">
      <c r="A6" s="31" t="s">
        <v>19</v>
      </c>
      <c r="B6" s="31" t="s">
        <v>20</v>
      </c>
      <c r="C6" s="31">
        <v>7</v>
      </c>
      <c r="D6" s="31">
        <v>20</v>
      </c>
      <c r="E6" s="31">
        <v>0</v>
      </c>
      <c r="F6" s="31">
        <v>40</v>
      </c>
      <c r="G6" s="31">
        <v>3</v>
      </c>
      <c r="H6" s="31" t="s">
        <v>21</v>
      </c>
      <c r="I6" s="31">
        <v>4</v>
      </c>
      <c r="J6" s="31">
        <v>4</v>
      </c>
      <c r="K6" s="31">
        <v>2</v>
      </c>
      <c r="L6" s="31">
        <v>3</v>
      </c>
      <c r="M6" s="32">
        <v>20</v>
      </c>
    </row>
    <row r="7" spans="1:13" ht="41" thickBot="1" x14ac:dyDescent="0.25">
      <c r="A7" s="31" t="s">
        <v>19</v>
      </c>
      <c r="B7" s="31" t="s">
        <v>22</v>
      </c>
      <c r="C7" s="31">
        <v>18</v>
      </c>
      <c r="D7" s="31">
        <v>30</v>
      </c>
      <c r="E7" s="31">
        <v>0</v>
      </c>
      <c r="F7" s="31">
        <v>70</v>
      </c>
      <c r="G7" s="31">
        <v>4.5</v>
      </c>
      <c r="H7" s="31" t="s">
        <v>21</v>
      </c>
      <c r="I7" s="31">
        <v>4</v>
      </c>
      <c r="J7" s="31">
        <v>4</v>
      </c>
      <c r="K7" s="31">
        <v>2</v>
      </c>
      <c r="L7" s="31">
        <v>3</v>
      </c>
      <c r="M7" s="32">
        <v>30</v>
      </c>
    </row>
    <row r="8" spans="1:13" ht="41" thickBot="1" x14ac:dyDescent="0.25">
      <c r="A8" s="31" t="s">
        <v>23</v>
      </c>
      <c r="B8" s="31" t="s">
        <v>56</v>
      </c>
      <c r="C8" s="31">
        <v>14</v>
      </c>
      <c r="D8" s="31">
        <v>19</v>
      </c>
      <c r="E8" s="31">
        <v>0</v>
      </c>
      <c r="F8" s="31">
        <v>50</v>
      </c>
      <c r="G8" s="31">
        <v>4</v>
      </c>
      <c r="H8" s="31" t="s">
        <v>24</v>
      </c>
      <c r="I8" s="31">
        <v>2</v>
      </c>
      <c r="J8" s="31">
        <v>4</v>
      </c>
      <c r="K8" s="31">
        <v>2</v>
      </c>
      <c r="L8" s="31">
        <v>2</v>
      </c>
      <c r="M8" s="32">
        <v>19</v>
      </c>
    </row>
    <row r="9" spans="1:13" ht="61" thickBot="1" x14ac:dyDescent="0.25">
      <c r="A9" s="31" t="s">
        <v>23</v>
      </c>
      <c r="B9" s="31" t="s">
        <v>57</v>
      </c>
      <c r="C9" s="31">
        <v>18</v>
      </c>
      <c r="D9" s="31">
        <v>27</v>
      </c>
      <c r="E9" s="31">
        <v>0</v>
      </c>
      <c r="F9" s="31">
        <v>0</v>
      </c>
      <c r="G9" s="31">
        <v>0</v>
      </c>
      <c r="H9" s="31" t="s">
        <v>18</v>
      </c>
      <c r="I9" s="31">
        <v>2</v>
      </c>
      <c r="J9" s="31">
        <v>4</v>
      </c>
      <c r="K9" s="31">
        <v>2</v>
      </c>
      <c r="L9" s="31">
        <v>2</v>
      </c>
      <c r="M9" s="32">
        <v>27</v>
      </c>
    </row>
    <row r="10" spans="1:13" ht="44" customHeight="1" thickBot="1" x14ac:dyDescent="0.25">
      <c r="A10" s="31" t="s">
        <v>25</v>
      </c>
      <c r="B10" s="31" t="s">
        <v>26</v>
      </c>
      <c r="C10" s="31">
        <v>14</v>
      </c>
      <c r="D10" s="31">
        <v>17</v>
      </c>
      <c r="E10" s="31">
        <v>0</v>
      </c>
      <c r="F10" s="31">
        <v>50</v>
      </c>
      <c r="G10" s="31">
        <v>4</v>
      </c>
      <c r="H10" s="31" t="s">
        <v>27</v>
      </c>
      <c r="I10" s="31">
        <v>2</v>
      </c>
      <c r="J10" s="31">
        <v>4</v>
      </c>
      <c r="K10" s="31">
        <v>1</v>
      </c>
      <c r="L10" s="31">
        <v>2</v>
      </c>
      <c r="M10" s="32">
        <v>27</v>
      </c>
    </row>
    <row r="11" spans="1:13" ht="41" thickBot="1" x14ac:dyDescent="0.25">
      <c r="A11" s="31" t="s">
        <v>28</v>
      </c>
      <c r="B11" s="31" t="s">
        <v>51</v>
      </c>
      <c r="C11" s="31">
        <v>14</v>
      </c>
      <c r="D11" s="31">
        <v>20</v>
      </c>
      <c r="E11" s="31">
        <v>0</v>
      </c>
      <c r="F11" s="31">
        <v>50</v>
      </c>
      <c r="G11" s="31">
        <v>4</v>
      </c>
      <c r="H11" s="31" t="s">
        <v>29</v>
      </c>
      <c r="I11" s="31">
        <v>1</v>
      </c>
      <c r="J11" s="31">
        <v>3</v>
      </c>
      <c r="K11" s="31">
        <v>4</v>
      </c>
      <c r="L11" s="31">
        <v>1</v>
      </c>
      <c r="M11" s="32">
        <v>21</v>
      </c>
    </row>
    <row r="12" spans="1:13" ht="48" customHeight="1" thickBot="1" x14ac:dyDescent="0.25">
      <c r="A12" s="31" t="s">
        <v>30</v>
      </c>
      <c r="B12" s="31" t="s">
        <v>58</v>
      </c>
      <c r="C12" s="31">
        <v>7</v>
      </c>
      <c r="D12" s="31">
        <v>99</v>
      </c>
      <c r="E12" s="31">
        <v>0</v>
      </c>
      <c r="F12" s="31">
        <v>0</v>
      </c>
      <c r="G12" s="31">
        <v>0</v>
      </c>
      <c r="H12" s="31" t="s">
        <v>31</v>
      </c>
      <c r="I12" s="31">
        <v>1</v>
      </c>
      <c r="J12" s="31">
        <v>5</v>
      </c>
      <c r="K12" s="31">
        <v>0</v>
      </c>
      <c r="L12" s="31">
        <v>4</v>
      </c>
      <c r="M12" s="32">
        <v>99</v>
      </c>
    </row>
    <row r="13" spans="1:13" ht="40" x14ac:dyDescent="0.2">
      <c r="A13" s="33" t="s">
        <v>32</v>
      </c>
      <c r="B13" s="33" t="s">
        <v>59</v>
      </c>
      <c r="C13" s="33">
        <v>6</v>
      </c>
      <c r="D13" s="33">
        <v>99</v>
      </c>
      <c r="E13" s="33">
        <v>0</v>
      </c>
      <c r="F13" s="33">
        <v>0</v>
      </c>
      <c r="G13" s="33">
        <v>0</v>
      </c>
      <c r="H13" s="33" t="s">
        <v>31</v>
      </c>
      <c r="I13" s="33">
        <v>1</v>
      </c>
      <c r="J13" s="33">
        <v>5</v>
      </c>
      <c r="K13" s="33">
        <v>0</v>
      </c>
      <c r="L13" s="33">
        <v>5</v>
      </c>
      <c r="M13" s="34">
        <v>99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FFD8-C236-864E-B34A-E5FF93C490A8}">
  <dimension ref="A1:W27"/>
  <sheetViews>
    <sheetView tabSelected="1" zoomScaleNormal="219" workbookViewId="0">
      <selection activeCell="C11" sqref="C11"/>
    </sheetView>
  </sheetViews>
  <sheetFormatPr baseColWidth="10" defaultRowHeight="16" x14ac:dyDescent="0.2"/>
  <cols>
    <col min="1" max="1" width="37.5" customWidth="1"/>
    <col min="2" max="2" width="12.5" customWidth="1"/>
    <col min="3" max="3" width="11" customWidth="1"/>
    <col min="4" max="4" width="14" customWidth="1"/>
    <col min="5" max="5" width="23" customWidth="1"/>
    <col min="7" max="7" width="15.83203125" bestFit="1" customWidth="1"/>
    <col min="16" max="16" width="24.1640625" bestFit="1" customWidth="1"/>
    <col min="17" max="17" width="11.83203125" customWidth="1"/>
    <col min="18" max="18" width="13.1640625" customWidth="1"/>
    <col min="19" max="19" width="12.1640625" customWidth="1"/>
    <col min="20" max="20" width="11.6640625" customWidth="1"/>
  </cols>
  <sheetData>
    <row r="1" spans="1:23" ht="37" x14ac:dyDescent="0.45">
      <c r="A1" s="10" t="s">
        <v>36</v>
      </c>
      <c r="B1" s="10"/>
      <c r="C1" s="10"/>
    </row>
    <row r="2" spans="1:23" ht="17" thickBot="1" x14ac:dyDescent="0.25"/>
    <row r="3" spans="1:23" ht="21" thickTop="1" thickBot="1" x14ac:dyDescent="0.3">
      <c r="A3" s="11" t="s">
        <v>34</v>
      </c>
      <c r="B3" s="3">
        <v>12</v>
      </c>
    </row>
    <row r="4" spans="1:23" ht="21" thickTop="1" thickBot="1" x14ac:dyDescent="0.3">
      <c r="A4" s="11" t="s">
        <v>35</v>
      </c>
      <c r="B4" s="3" t="s">
        <v>82</v>
      </c>
    </row>
    <row r="5" spans="1:23" ht="20" thickTop="1" x14ac:dyDescent="0.25">
      <c r="A5" s="11"/>
      <c r="B5" s="2"/>
      <c r="D5" s="35" t="s">
        <v>53</v>
      </c>
      <c r="E5" s="36"/>
    </row>
    <row r="6" spans="1:23" ht="20" thickBot="1" x14ac:dyDescent="0.3">
      <c r="A6" s="11" t="s">
        <v>42</v>
      </c>
      <c r="B6" s="2"/>
      <c r="D6" s="37"/>
      <c r="E6" s="38"/>
    </row>
    <row r="7" spans="1:23" ht="26" thickTop="1" thickBot="1" x14ac:dyDescent="0.3">
      <c r="A7" s="11" t="s">
        <v>37</v>
      </c>
      <c r="B7" s="3">
        <v>5</v>
      </c>
      <c r="D7" s="4" t="s">
        <v>43</v>
      </c>
      <c r="E7" s="5" t="str">
        <f>_xlfn.XLOOKUP(E8,C16:C27,A16:A27)</f>
        <v>Spark7</v>
      </c>
    </row>
    <row r="8" spans="1:23" ht="27" customHeight="1" thickTop="1" thickBot="1" x14ac:dyDescent="0.3">
      <c r="A8" s="11" t="s">
        <v>38</v>
      </c>
      <c r="B8" s="3">
        <v>3</v>
      </c>
      <c r="D8" s="6" t="s">
        <v>45</v>
      </c>
      <c r="E8" s="7">
        <f>MAX(C16:C27)</f>
        <v>4.1923076923076925</v>
      </c>
    </row>
    <row r="9" spans="1:23" ht="27" customHeight="1" thickTop="1" thickBot="1" x14ac:dyDescent="0.3">
      <c r="A9" s="11" t="s">
        <v>39</v>
      </c>
      <c r="B9" s="3">
        <v>3</v>
      </c>
      <c r="D9" s="8" t="s">
        <v>41</v>
      </c>
      <c r="E9" s="9">
        <f>_xlfn.XLOOKUP(E7,A16:A27,D16:D27)</f>
        <v>20</v>
      </c>
    </row>
    <row r="10" spans="1:23" ht="26" customHeight="1" thickTop="1" thickBot="1" x14ac:dyDescent="0.3">
      <c r="A10" s="11" t="s">
        <v>40</v>
      </c>
      <c r="B10" s="3">
        <v>1</v>
      </c>
    </row>
    <row r="11" spans="1:23" ht="28" customHeight="1" thickTop="1" thickBot="1" x14ac:dyDescent="0.3">
      <c r="A11" s="11" t="s">
        <v>41</v>
      </c>
      <c r="B11" s="3">
        <v>1</v>
      </c>
    </row>
    <row r="12" spans="1:23" ht="17" thickTop="1" x14ac:dyDescent="0.2"/>
    <row r="14" spans="1:23" ht="17" thickBot="1" x14ac:dyDescent="0.25"/>
    <row r="15" spans="1:23" ht="24" thickTop="1" thickBot="1" x14ac:dyDescent="0.35">
      <c r="A15" s="20" t="s">
        <v>43</v>
      </c>
      <c r="B15" s="12" t="s">
        <v>44</v>
      </c>
      <c r="C15" s="12" t="s">
        <v>45</v>
      </c>
      <c r="D15" s="13" t="s">
        <v>41</v>
      </c>
      <c r="P15" t="s">
        <v>43</v>
      </c>
      <c r="Q15" t="s">
        <v>41</v>
      </c>
      <c r="R15" t="s">
        <v>55</v>
      </c>
      <c r="S15" t="s">
        <v>54</v>
      </c>
      <c r="T15" t="s">
        <v>37</v>
      </c>
      <c r="U15" t="s">
        <v>38</v>
      </c>
      <c r="V15" t="s">
        <v>62</v>
      </c>
      <c r="W15" t="s">
        <v>40</v>
      </c>
    </row>
    <row r="16" spans="1:23" ht="17" thickTop="1" x14ac:dyDescent="0.2">
      <c r="A16" s="19" t="s">
        <v>46</v>
      </c>
      <c r="B16" s="21" t="str">
        <f>IF(AND($B$3&gt;=R16,$B$3&lt;=S16),"Ja","Nein")</f>
        <v>Ja</v>
      </c>
      <c r="C16" s="22">
        <f>IF(B16="Nein",0,(($B$7*T16)+($B$8*U16)+($B$9*V16)+($B$10*W16)+($B$11*(IF(Q16=0,0,IF(Q16=20,1,IF(Q16=50,2.5,5))))*0.5))/SUM($B$7:$B$11))</f>
        <v>4.1923076923076925</v>
      </c>
      <c r="D16" s="23">
        <f>_xlfn.XLOOKUP(A16,tblKonten[Konto],tblKonten[Eröffnungsbonus €])</f>
        <v>20</v>
      </c>
      <c r="P16" t="s">
        <v>46</v>
      </c>
      <c r="Q16" s="1">
        <f>_xlfn.XLOOKUP(P16,tblKonten[Konto],tblKonten[Eröffnungsbonus €])</f>
        <v>20</v>
      </c>
      <c r="R16">
        <f>_xlfn.XLOOKUP(P16,tblKonten[Konto],tblKonten[Alter von])</f>
        <v>10</v>
      </c>
      <c r="S16">
        <f>_xlfn.XLOOKUP(P16,tblKonten[Konto],tblKonten[Alter bis])</f>
        <v>19</v>
      </c>
      <c r="T16">
        <f>_xlfn.XLOOKUP(P16,tblKonten[Konto],tblKonten[App-Stärke (1–5)])</f>
        <v>5</v>
      </c>
      <c r="U16">
        <f>_xlfn.XLOOKUP(P16,tblKonten[Konto],tblKonten[Ticket-/Eventrabatte (1–5)])</f>
        <v>4</v>
      </c>
      <c r="V16">
        <f>_xlfn.XLOOKUP(P16,tblKonten[Konto],tblKonten[Filialnetz (1–5)])</f>
        <v>4</v>
      </c>
      <c r="W16">
        <f>_xlfn.XLOOKUP(P16,tblKonten[Konto],tblKonten[Investing (1–5)])</f>
        <v>5</v>
      </c>
    </row>
    <row r="17" spans="1:23" x14ac:dyDescent="0.2">
      <c r="A17" s="19" t="s">
        <v>48</v>
      </c>
      <c r="B17" s="24" t="str">
        <f t="shared" ref="B17:B27" si="0">IF(AND($B$3&gt;=R17,$B$3&lt;=S17),"Ja","Nein")</f>
        <v>Nein</v>
      </c>
      <c r="C17" s="14">
        <f t="shared" ref="C17:C27" si="1">IF(B17="Nein",0,(($B$7*T17)+($B$8*U17)+($B$9*V17)+($B$10*W17)+($B$11*(IF(Q17=0,0,IF(Q17=20,1,IF(Q17=50,2.5,5))))*0.5))/SUM($B$7:$B$11))</f>
        <v>0</v>
      </c>
      <c r="D17" s="25">
        <f>_xlfn.XLOOKUP(A17,tblKonten[Konto],tblKonten[Eröffnungsbonus €])</f>
        <v>0</v>
      </c>
      <c r="P17" t="s">
        <v>48</v>
      </c>
      <c r="Q17" s="1">
        <f>_xlfn.XLOOKUP(P17,tblKonten[Konto],tblKonten[Eröffnungsbonus €])</f>
        <v>0</v>
      </c>
      <c r="R17">
        <f>_xlfn.XLOOKUP(P17,tblKonten[Konto],tblKonten[Alter von])</f>
        <v>18</v>
      </c>
      <c r="S17">
        <f>_xlfn.XLOOKUP(P17,tblKonten[Konto],tblKonten[Alter bis])</f>
        <v>27</v>
      </c>
      <c r="T17">
        <f>_xlfn.XLOOKUP(P17,tblKonten[Konto],tblKonten[App-Stärke (1–5)])</f>
        <v>3</v>
      </c>
      <c r="U17">
        <f>_xlfn.XLOOKUP(P17,tblKonten[Konto],tblKonten[Ticket-/Eventrabatte (1–5)])</f>
        <v>5</v>
      </c>
      <c r="V17">
        <f>_xlfn.XLOOKUP(P17,tblKonten[Konto],tblKonten[Filialnetz (1–5)])</f>
        <v>5</v>
      </c>
      <c r="W17">
        <f>_xlfn.XLOOKUP(P17,tblKonten[Konto],tblKonten[Investing (1–5)])</f>
        <v>3</v>
      </c>
    </row>
    <row r="18" spans="1:23" x14ac:dyDescent="0.2">
      <c r="A18" s="19" t="s">
        <v>49</v>
      </c>
      <c r="B18" s="24" t="str">
        <f t="shared" si="0"/>
        <v>Nein</v>
      </c>
      <c r="C18" s="14">
        <f t="shared" si="1"/>
        <v>0</v>
      </c>
      <c r="D18" s="25">
        <v>50</v>
      </c>
      <c r="P18" t="s">
        <v>49</v>
      </c>
      <c r="Q18" s="1">
        <v>50</v>
      </c>
      <c r="R18">
        <f>_xlfn.XLOOKUP(P18,tblKonten[Konto],tblKonten[Alter von])</f>
        <v>14</v>
      </c>
      <c r="S18">
        <f>_xlfn.XLOOKUP(P18,tblKonten[Konto],tblKonten[Alter bis])</f>
        <v>19</v>
      </c>
      <c r="T18">
        <f>_xlfn.XLOOKUP(P18,tblKonten[Konto],tblKonten[App-Stärke (1–5)])</f>
        <v>3</v>
      </c>
      <c r="U18">
        <f>_xlfn.XLOOKUP(P18,tblKonten[Konto],tblKonten[Ticket-/Eventrabatte (1–5)])</f>
        <v>5</v>
      </c>
      <c r="V18">
        <f>_xlfn.XLOOKUP(P18,tblKonten[Konto],tblKonten[Filialnetz (1–5)])</f>
        <v>5</v>
      </c>
      <c r="W18">
        <f>_xlfn.XLOOKUP(P18,tblKonten[Konto],tblKonten[Investing (1–5)])</f>
        <v>3</v>
      </c>
    </row>
    <row r="19" spans="1:23" x14ac:dyDescent="0.2">
      <c r="A19" s="19" t="s">
        <v>47</v>
      </c>
      <c r="B19" s="24" t="str">
        <f t="shared" si="0"/>
        <v>Nein</v>
      </c>
      <c r="C19" s="14">
        <f t="shared" si="1"/>
        <v>0</v>
      </c>
      <c r="D19" s="25">
        <f>_xlfn.XLOOKUP(A19,tblKonten[Konto],tblKonten[Eröffnungsbonus €])</f>
        <v>100</v>
      </c>
      <c r="P19" t="s">
        <v>47</v>
      </c>
      <c r="Q19" s="1">
        <f>_xlfn.XLOOKUP(P19,tblKonten[Konto],tblKonten[Eröffnungsbonus €])</f>
        <v>100</v>
      </c>
      <c r="R19">
        <f>_xlfn.XLOOKUP(P19,tblKonten[Konto],tblKonten[Alter von])</f>
        <v>18</v>
      </c>
      <c r="S19">
        <f>_xlfn.XLOOKUP(P19,tblKonten[Konto],tblKonten[Alter bis])</f>
        <v>27</v>
      </c>
      <c r="T19">
        <f>_xlfn.XLOOKUP(P19,tblKonten[Konto],tblKonten[App-Stärke (1–5)])</f>
        <v>5</v>
      </c>
      <c r="U19">
        <f>_xlfn.XLOOKUP(P19,tblKonten[Konto],tblKonten[Ticket-/Eventrabatte (1–5)])</f>
        <v>4</v>
      </c>
      <c r="V19">
        <f>_xlfn.XLOOKUP(P19,tblKonten[Konto],tblKonten[Filialnetz (1–5)])</f>
        <v>4</v>
      </c>
      <c r="W19">
        <f>_xlfn.XLOOKUP(P19,tblKonten[Konto],tblKonten[Investing (1–5)])</f>
        <v>5</v>
      </c>
    </row>
    <row r="20" spans="1:23" x14ac:dyDescent="0.2">
      <c r="A20" s="19" t="s">
        <v>50</v>
      </c>
      <c r="B20" s="24" t="str">
        <f t="shared" si="0"/>
        <v>Ja</v>
      </c>
      <c r="C20" s="14">
        <f t="shared" si="1"/>
        <v>3.3461538461538463</v>
      </c>
      <c r="D20" s="25">
        <f>_xlfn.XLOOKUP(A20,tblKonten[Konto],tblKonten[Eröffnungsbonus €])</f>
        <v>40</v>
      </c>
      <c r="P20" t="s">
        <v>50</v>
      </c>
      <c r="Q20" s="1">
        <f>_xlfn.XLOOKUP(P20,tblKonten[Konto],tblKonten[Eröffnungsbonus €])</f>
        <v>40</v>
      </c>
      <c r="R20">
        <f>_xlfn.XLOOKUP(P20,tblKonten[Konto],tblKonten[Alter von])</f>
        <v>7</v>
      </c>
      <c r="S20">
        <f>_xlfn.XLOOKUP(P20,tblKonten[Konto],tblKonten[Alter bis])</f>
        <v>20</v>
      </c>
      <c r="T20">
        <f>_xlfn.XLOOKUP(P20,tblKonten[Konto],tblKonten[App-Stärke (1–5)])</f>
        <v>4</v>
      </c>
      <c r="U20">
        <f>_xlfn.XLOOKUP(P20,tblKonten[Konto],tblKonten[Ticket-/Eventrabatte (1–5)])</f>
        <v>4</v>
      </c>
      <c r="V20">
        <f>_xlfn.XLOOKUP(P20,tblKonten[Konto],tblKonten[Filialnetz (1–5)])</f>
        <v>2</v>
      </c>
      <c r="W20">
        <f>_xlfn.XLOOKUP(P20,tblKonten[Konto],tblKonten[Investing (1–5)])</f>
        <v>3</v>
      </c>
    </row>
    <row r="21" spans="1:23" x14ac:dyDescent="0.2">
      <c r="A21" s="19" t="s">
        <v>22</v>
      </c>
      <c r="B21" s="24" t="str">
        <f t="shared" si="0"/>
        <v>Nein</v>
      </c>
      <c r="C21" s="14">
        <f t="shared" si="1"/>
        <v>0</v>
      </c>
      <c r="D21" s="25">
        <f>_xlfn.XLOOKUP(A21,tblKonten[Konto],tblKonten[Eröffnungsbonus €])</f>
        <v>70</v>
      </c>
      <c r="P21" t="s">
        <v>22</v>
      </c>
      <c r="Q21" s="1">
        <f>_xlfn.XLOOKUP(P21,tblKonten[Konto],tblKonten[Eröffnungsbonus €])</f>
        <v>70</v>
      </c>
      <c r="R21">
        <f>_xlfn.XLOOKUP(P21,tblKonten[Konto],tblKonten[Alter von])</f>
        <v>18</v>
      </c>
      <c r="S21">
        <f>_xlfn.XLOOKUP(P21,tblKonten[Konto],tblKonten[Alter bis])</f>
        <v>30</v>
      </c>
      <c r="T21">
        <f>_xlfn.XLOOKUP(P21,tblKonten[Konto],tblKonten[App-Stärke (1–5)])</f>
        <v>4</v>
      </c>
      <c r="U21">
        <f>_xlfn.XLOOKUP(P21,tblKonten[Konto],tblKonten[Ticket-/Eventrabatte (1–5)])</f>
        <v>4</v>
      </c>
      <c r="V21">
        <f>_xlfn.XLOOKUP(P21,tblKonten[Konto],tblKonten[Filialnetz (1–5)])</f>
        <v>2</v>
      </c>
      <c r="W21">
        <f>_xlfn.XLOOKUP(P21,tblKonten[Konto],tblKonten[Investing (1–5)])</f>
        <v>3</v>
      </c>
    </row>
    <row r="22" spans="1:23" x14ac:dyDescent="0.2">
      <c r="A22" s="19" t="s">
        <v>60</v>
      </c>
      <c r="B22" s="24" t="str">
        <f t="shared" si="0"/>
        <v>Nein</v>
      </c>
      <c r="C22" s="14">
        <f t="shared" si="1"/>
        <v>0</v>
      </c>
      <c r="D22" s="25">
        <f>_xlfn.XLOOKUP(A22,tblKonten[Konto],tblKonten[Eröffnungsbonus €])</f>
        <v>50</v>
      </c>
      <c r="P22" t="s">
        <v>60</v>
      </c>
      <c r="Q22" s="1">
        <f>_xlfn.XLOOKUP(P22,tblKonten[Konto],tblKonten[Eröffnungsbonus €])</f>
        <v>50</v>
      </c>
      <c r="R22">
        <f>_xlfn.XLOOKUP(P22,tblKonten[Konto],tblKonten[Alter von])</f>
        <v>14</v>
      </c>
      <c r="S22">
        <f>_xlfn.XLOOKUP(P22,tblKonten[Konto],tblKonten[Alter bis])</f>
        <v>19</v>
      </c>
      <c r="T22">
        <f>_xlfn.XLOOKUP(P22,tblKonten[Konto],tblKonten[App-Stärke (1–5)])</f>
        <v>4</v>
      </c>
      <c r="U22">
        <f>_xlfn.XLOOKUP(P22,tblKonten[Konto],tblKonten[Ticket-/Eventrabatte (1–5)])</f>
        <v>2</v>
      </c>
      <c r="V22">
        <f>_xlfn.XLOOKUP(P22,tblKonten[Konto],tblKonten[Filialnetz (1–5)])</f>
        <v>2</v>
      </c>
      <c r="W22">
        <f>_xlfn.XLOOKUP(P22,tblKonten[Konto],tblKonten[Investing (1–5)])</f>
        <v>2</v>
      </c>
    </row>
    <row r="23" spans="1:23" x14ac:dyDescent="0.2">
      <c r="A23" s="19" t="s">
        <v>61</v>
      </c>
      <c r="B23" s="24" t="str">
        <f t="shared" si="0"/>
        <v>Nein</v>
      </c>
      <c r="C23" s="14">
        <f t="shared" si="1"/>
        <v>0</v>
      </c>
      <c r="D23" s="25">
        <f>_xlfn.XLOOKUP(A23,tblKonten[Konto],tblKonten[Eröffnungsbonus €])</f>
        <v>0</v>
      </c>
      <c r="P23" t="s">
        <v>61</v>
      </c>
      <c r="Q23" s="1">
        <f>_xlfn.XLOOKUP(P23,tblKonten[Konto],tblKonten[Eröffnungsbonus €])</f>
        <v>0</v>
      </c>
      <c r="R23">
        <f>_xlfn.XLOOKUP(P23,tblKonten[Konto],tblKonten[Alter von])</f>
        <v>18</v>
      </c>
      <c r="S23">
        <f>_xlfn.XLOOKUP(P23,tblKonten[Konto],tblKonten[Alter bis])</f>
        <v>27</v>
      </c>
      <c r="T23">
        <f>_xlfn.XLOOKUP(P23,tblKonten[Konto],tblKonten[App-Stärke (1–5)])</f>
        <v>4</v>
      </c>
      <c r="U23">
        <f>_xlfn.XLOOKUP(P23,tblKonten[Konto],tblKonten[Ticket-/Eventrabatte (1–5)])</f>
        <v>2</v>
      </c>
      <c r="V23">
        <f>_xlfn.XLOOKUP(P23,tblKonten[Konto],tblKonten[Filialnetz (1–5)])</f>
        <v>2</v>
      </c>
      <c r="W23">
        <f>_xlfn.XLOOKUP(P23,tblKonten[Konto],tblKonten[Investing (1–5)])</f>
        <v>2</v>
      </c>
    </row>
    <row r="24" spans="1:23" x14ac:dyDescent="0.2">
      <c r="A24" s="19" t="s">
        <v>26</v>
      </c>
      <c r="B24" s="24" t="str">
        <f t="shared" si="0"/>
        <v>Nein</v>
      </c>
      <c r="C24" s="14">
        <f t="shared" si="1"/>
        <v>0</v>
      </c>
      <c r="D24" s="25">
        <f>_xlfn.XLOOKUP(A24,tblKonten[Konto],tblKonten[Eröffnungsbonus €])</f>
        <v>50</v>
      </c>
      <c r="P24" t="s">
        <v>26</v>
      </c>
      <c r="Q24" s="1">
        <f>_xlfn.XLOOKUP(P24,tblKonten[Konto],tblKonten[Eröffnungsbonus €])</f>
        <v>50</v>
      </c>
      <c r="R24">
        <f>_xlfn.XLOOKUP(P24,tblKonten[Konto],tblKonten[Alter von])</f>
        <v>14</v>
      </c>
      <c r="S24">
        <f>_xlfn.XLOOKUP(P24,tblKonten[Konto],tblKonten[Alter bis])</f>
        <v>17</v>
      </c>
      <c r="T24">
        <f>_xlfn.XLOOKUP(P24,tblKonten[Konto],tblKonten[App-Stärke (1–5)])</f>
        <v>4</v>
      </c>
      <c r="U24">
        <f>_xlfn.XLOOKUP(P24,tblKonten[Konto],tblKonten[Ticket-/Eventrabatte (1–5)])</f>
        <v>2</v>
      </c>
      <c r="V24">
        <f>_xlfn.XLOOKUP(P24,tblKonten[Konto],tblKonten[Filialnetz (1–5)])</f>
        <v>1</v>
      </c>
      <c r="W24">
        <f>_xlfn.XLOOKUP(P24,tblKonten[Konto],tblKonten[Investing (1–5)])</f>
        <v>2</v>
      </c>
    </row>
    <row r="25" spans="1:23" x14ac:dyDescent="0.2">
      <c r="A25" s="19" t="s">
        <v>51</v>
      </c>
      <c r="B25" s="24" t="str">
        <f t="shared" si="0"/>
        <v>Nein</v>
      </c>
      <c r="C25" s="14">
        <f t="shared" si="1"/>
        <v>0</v>
      </c>
      <c r="D25" s="25">
        <f>_xlfn.XLOOKUP(A25,tblKonten[Konto],tblKonten[Eröffnungsbonus €])</f>
        <v>50</v>
      </c>
      <c r="P25" t="s">
        <v>51</v>
      </c>
      <c r="Q25" s="1">
        <f>_xlfn.XLOOKUP(P25,tblKonten[Konto],tblKonten[Eröffnungsbonus €])</f>
        <v>50</v>
      </c>
      <c r="R25">
        <f>_xlfn.XLOOKUP(P25,tblKonten[Konto],tblKonten[Alter von])</f>
        <v>14</v>
      </c>
      <c r="S25">
        <f>_xlfn.XLOOKUP(P25,tblKonten[Konto],tblKonten[Alter bis])</f>
        <v>20</v>
      </c>
      <c r="T25">
        <f>_xlfn.XLOOKUP(P25,tblKonten[Konto],tblKonten[App-Stärke (1–5)])</f>
        <v>3</v>
      </c>
      <c r="U25">
        <f>_xlfn.XLOOKUP(P25,tblKonten[Konto],tblKonten[Ticket-/Eventrabatte (1–5)])</f>
        <v>1</v>
      </c>
      <c r="V25">
        <f>_xlfn.XLOOKUP(P25,tblKonten[Konto],tblKonten[Filialnetz (1–5)])</f>
        <v>4</v>
      </c>
      <c r="W25">
        <f>_xlfn.XLOOKUP(P25,tblKonten[Konto],tblKonten[Investing (1–5)])</f>
        <v>1</v>
      </c>
    </row>
    <row r="26" spans="1:23" x14ac:dyDescent="0.2">
      <c r="A26" s="19" t="s">
        <v>58</v>
      </c>
      <c r="B26" s="24" t="str">
        <f t="shared" si="0"/>
        <v>Ja</v>
      </c>
      <c r="C26" s="14">
        <f t="shared" si="1"/>
        <v>2.4615384615384617</v>
      </c>
      <c r="D26" s="25">
        <f>_xlfn.XLOOKUP(A26,tblKonten[Konto],tblKonten[Eröffnungsbonus €])</f>
        <v>0</v>
      </c>
      <c r="P26" t="s">
        <v>58</v>
      </c>
      <c r="Q26" s="1">
        <f>_xlfn.XLOOKUP(P26,tblKonten[Konto],tblKonten[Eröffnungsbonus €])</f>
        <v>0</v>
      </c>
      <c r="R26">
        <f>_xlfn.XLOOKUP(P26,tblKonten[Konto],tblKonten[Alter von])</f>
        <v>7</v>
      </c>
      <c r="S26">
        <f>_xlfn.XLOOKUP(P26,tblKonten[Konto],tblKonten[Alter bis])</f>
        <v>99</v>
      </c>
      <c r="T26">
        <f>_xlfn.XLOOKUP(P26,tblKonten[Konto],tblKonten[App-Stärke (1–5)])</f>
        <v>5</v>
      </c>
      <c r="U26">
        <f>_xlfn.XLOOKUP(P26,tblKonten[Konto],tblKonten[Ticket-/Eventrabatte (1–5)])</f>
        <v>1</v>
      </c>
      <c r="V26">
        <f>_xlfn.XLOOKUP(P26,tblKonten[Konto],tblKonten[Filialnetz (1–5)])</f>
        <v>0</v>
      </c>
      <c r="W26">
        <f>_xlfn.XLOOKUP(P26,tblKonten[Konto],tblKonten[Investing (1–5)])</f>
        <v>4</v>
      </c>
    </row>
    <row r="27" spans="1:23" x14ac:dyDescent="0.2">
      <c r="A27" s="19" t="s">
        <v>59</v>
      </c>
      <c r="B27" s="24" t="str">
        <f t="shared" si="0"/>
        <v>Ja</v>
      </c>
      <c r="C27" s="14">
        <f t="shared" si="1"/>
        <v>2.5384615384615383</v>
      </c>
      <c r="D27" s="25">
        <f>_xlfn.XLOOKUP(A27,tblKonten[Konto],tblKonten[Eröffnungsbonus €])</f>
        <v>0</v>
      </c>
      <c r="P27" t="s">
        <v>59</v>
      </c>
      <c r="Q27" s="1">
        <f>_xlfn.XLOOKUP(P27,tblKonten[Konto],tblKonten[Eröffnungsbonus €])</f>
        <v>0</v>
      </c>
      <c r="R27">
        <f>_xlfn.XLOOKUP(P27,tblKonten[Konto],tblKonten[Alter von])</f>
        <v>6</v>
      </c>
      <c r="S27">
        <f>_xlfn.XLOOKUP(P27,tblKonten[Konto],tblKonten[Alter bis])</f>
        <v>99</v>
      </c>
      <c r="T27">
        <f>_xlfn.XLOOKUP(P27,tblKonten[Konto],tblKonten[App-Stärke (1–5)])</f>
        <v>5</v>
      </c>
      <c r="U27">
        <f>_xlfn.XLOOKUP(P27,tblKonten[Konto],tblKonten[Ticket-/Eventrabatte (1–5)])</f>
        <v>1</v>
      </c>
      <c r="V27">
        <f>_xlfn.XLOOKUP(P27,tblKonten[Konto],tblKonten[Filialnetz (1–5)])</f>
        <v>0</v>
      </c>
      <c r="W27">
        <f>_xlfn.XLOOKUP(P27,tblKonten[Konto],tblKonten[Investing (1–5)])</f>
        <v>5</v>
      </c>
    </row>
  </sheetData>
  <mergeCells count="1">
    <mergeCell ref="D5:E6"/>
  </mergeCells>
  <conditionalFormatting sqref="B16:B27">
    <cfRule type="expression" dxfId="0" priority="2" stopIfTrue="1">
      <formula>$B16="Nein"</formula>
    </cfRule>
  </conditionalFormatting>
  <conditionalFormatting sqref="C16:C27">
    <cfRule type="colorScale" priority="1">
      <colorScale>
        <cfvo type="min"/>
        <cfvo type="max"/>
        <color theme="9" tint="0.79998168889431442"/>
        <color theme="9" tint="-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dataValidations count="3">
    <dataValidation type="list" allowBlank="1" showInputMessage="1" showErrorMessage="1" sqref="B4" xr:uid="{DC5E09F8-A069-5942-B161-4A3F97115544}">
      <formula1>"Schüler,Lehrling,Student"</formula1>
    </dataValidation>
    <dataValidation type="list" allowBlank="1" showInputMessage="1" showErrorMessage="1" sqref="B7:B11" xr:uid="{B791508C-9707-4F4E-B685-B897A8CFCE10}">
      <formula1>"0,1,2,3,4,5"</formula1>
    </dataValidation>
    <dataValidation type="whole" allowBlank="1" showInputMessage="1" showErrorMessage="1" sqref="B3" xr:uid="{73AD4A05-C877-994F-B4DC-06EF42079C09}">
      <formula1>6</formula1>
      <formula2>99</formula2>
    </dataValidation>
  </dataValidation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B5F93-7B76-5A43-9133-09B4794A6F21}">
  <dimension ref="A1:I66"/>
  <sheetViews>
    <sheetView workbookViewId="0">
      <selection sqref="A1:M65"/>
    </sheetView>
  </sheetViews>
  <sheetFormatPr baseColWidth="10" defaultRowHeight="16" x14ac:dyDescent="0.2"/>
  <cols>
    <col min="1" max="1" width="27.6640625" customWidth="1"/>
    <col min="2" max="2" width="13.5" customWidth="1"/>
    <col min="3" max="3" width="11.6640625" customWidth="1"/>
    <col min="5" max="5" width="11.33203125" customWidth="1"/>
  </cols>
  <sheetData>
    <row r="1" spans="1:9" ht="37" x14ac:dyDescent="0.45">
      <c r="A1" s="10" t="s">
        <v>64</v>
      </c>
      <c r="B1" s="10"/>
      <c r="C1" s="10"/>
      <c r="D1" s="10"/>
      <c r="E1" s="10"/>
      <c r="F1" s="15"/>
    </row>
    <row r="2" spans="1:9" ht="22" x14ac:dyDescent="0.2">
      <c r="A2" s="16" t="s">
        <v>65</v>
      </c>
      <c r="B2" s="16"/>
      <c r="C2" s="16"/>
      <c r="D2" s="16"/>
      <c r="E2" s="16"/>
      <c r="F2" s="16"/>
      <c r="G2" s="16"/>
      <c r="H2" s="16"/>
      <c r="I2" s="17"/>
    </row>
    <row r="3" spans="1:9" x14ac:dyDescent="0.2">
      <c r="A3" s="17"/>
      <c r="B3" s="17"/>
      <c r="C3" s="17"/>
      <c r="D3" s="17"/>
      <c r="E3" s="17"/>
      <c r="F3" s="17"/>
      <c r="G3" s="17"/>
      <c r="H3" s="17"/>
      <c r="I3" s="17"/>
    </row>
    <row r="4" spans="1:9" ht="22" x14ac:dyDescent="0.3">
      <c r="A4" s="39" t="s">
        <v>66</v>
      </c>
      <c r="B4" s="39"/>
      <c r="C4" s="39"/>
      <c r="D4" s="18">
        <f>MAX(tblKonten[Eröffnungsbonus €])</f>
        <v>100</v>
      </c>
      <c r="E4" s="17"/>
      <c r="F4" s="17"/>
      <c r="G4" s="17"/>
      <c r="H4" s="17"/>
      <c r="I4" s="17"/>
    </row>
    <row r="5" spans="1:9" ht="22" x14ac:dyDescent="0.3">
      <c r="A5" s="39" t="s">
        <v>67</v>
      </c>
      <c r="B5" s="39"/>
      <c r="C5" s="39"/>
      <c r="D5" s="18">
        <f>MAX(tblKonten[Gratis bis Alter])</f>
        <v>99</v>
      </c>
      <c r="E5" s="17"/>
      <c r="F5" s="17"/>
      <c r="G5" s="17"/>
      <c r="H5" s="17"/>
      <c r="I5" s="17"/>
    </row>
    <row r="6" spans="1:9" ht="22" x14ac:dyDescent="0.3">
      <c r="A6" s="39" t="s">
        <v>68</v>
      </c>
      <c r="B6" s="39"/>
      <c r="C6" s="39"/>
      <c r="D6" s="18">
        <f>MAX(tblKonten[App-Stärke (1–5)])</f>
        <v>5</v>
      </c>
      <c r="E6" s="17"/>
      <c r="F6" s="17"/>
      <c r="G6" s="17"/>
      <c r="H6" s="17"/>
      <c r="I6" s="17"/>
    </row>
    <row r="7" spans="1:9" ht="22" x14ac:dyDescent="0.3">
      <c r="A7" s="39" t="s">
        <v>69</v>
      </c>
      <c r="B7" s="39"/>
      <c r="C7" s="39"/>
      <c r="D7" s="18">
        <f>MAX(tblKonten[Investing (1–5)])</f>
        <v>5</v>
      </c>
      <c r="E7" s="17"/>
      <c r="F7" s="17"/>
      <c r="G7" s="17"/>
      <c r="H7" s="17"/>
      <c r="I7" s="17"/>
    </row>
    <row r="8" spans="1:9" x14ac:dyDescent="0.2">
      <c r="A8" s="17"/>
      <c r="B8" s="17"/>
      <c r="C8" s="17"/>
      <c r="D8" s="17"/>
      <c r="E8" s="17"/>
      <c r="F8" s="17"/>
      <c r="G8" s="17"/>
      <c r="H8" s="17"/>
      <c r="I8" s="17"/>
    </row>
    <row r="11" spans="1:9" ht="22" x14ac:dyDescent="0.3">
      <c r="A11" s="26" t="s">
        <v>1</v>
      </c>
      <c r="B11" s="26" t="s">
        <v>5</v>
      </c>
    </row>
    <row r="12" spans="1:9" ht="19" x14ac:dyDescent="0.25">
      <c r="A12" s="27" t="str" cm="1">
        <f t="array" ref="A12:A23">tblKonten[Konto]</f>
        <v>spark7</v>
      </c>
      <c r="B12" s="28" cm="1">
        <f t="array" ref="B12:B23">tblKonten[Eröffnungsbonus €]</f>
        <v>20</v>
      </c>
    </row>
    <row r="13" spans="1:9" ht="19" x14ac:dyDescent="0.25">
      <c r="A13" s="27" t="str">
        <v>Erste Studentenkonto</v>
      </c>
      <c r="B13" s="28">
        <v>100</v>
      </c>
    </row>
    <row r="14" spans="1:9" ht="19" x14ac:dyDescent="0.25">
      <c r="A14" s="27" t="str">
        <v>Raiffeisen Jugendkonto</v>
      </c>
      <c r="B14" s="27" t="str">
        <v>JBL-Kopfhörer</v>
      </c>
      <c r="C14" t="s">
        <v>70</v>
      </c>
    </row>
    <row r="15" spans="1:9" ht="19" x14ac:dyDescent="0.25">
      <c r="A15" s="27" t="str">
        <v>Raiffeisen Studentenkonto</v>
      </c>
      <c r="B15" s="28">
        <v>0</v>
      </c>
    </row>
    <row r="16" spans="1:9" ht="19" x14ac:dyDescent="0.25">
      <c r="A16" s="27" t="str">
        <v>MegaCard</v>
      </c>
      <c r="B16" s="28">
        <v>40</v>
      </c>
    </row>
    <row r="17" spans="1:3" ht="19" x14ac:dyDescent="0.25">
      <c r="A17" s="27" t="str">
        <v>GoGreen Studenten</v>
      </c>
      <c r="B17" s="28">
        <v>70</v>
      </c>
    </row>
    <row r="18" spans="1:3" ht="19" x14ac:dyDescent="0.25">
      <c r="A18" s="27" t="str">
        <v>BAWAG B4-19 KontoBox</v>
      </c>
      <c r="B18" s="28">
        <v>50</v>
      </c>
    </row>
    <row r="19" spans="1:3" ht="19" x14ac:dyDescent="0.25">
      <c r="A19" s="27" t="str">
        <v>BAWAG Studenten KontoBox</v>
      </c>
      <c r="B19" s="28">
        <v>0</v>
      </c>
    </row>
    <row r="20" spans="1:3" ht="19" x14ac:dyDescent="0.25">
      <c r="A20" s="27" t="str">
        <v>easy youth</v>
      </c>
      <c r="B20" s="28">
        <v>50</v>
      </c>
    </row>
    <row r="21" spans="1:3" ht="19" x14ac:dyDescent="0.25">
      <c r="A21" s="27" t="str">
        <v>bank99 Jugendkonto</v>
      </c>
      <c r="B21" s="28">
        <v>50</v>
      </c>
    </row>
    <row r="22" spans="1:3" ht="19" x14ac:dyDescent="0.25">
      <c r="A22" s="27" t="str">
        <v>N26 Standard / &lt;18</v>
      </c>
      <c r="B22" s="28">
        <v>0</v>
      </c>
    </row>
    <row r="23" spans="1:3" ht="19" x14ac:dyDescent="0.25">
      <c r="A23" s="27" t="str">
        <v>Revolut Standard / &lt;18</v>
      </c>
      <c r="B23" s="28">
        <v>0</v>
      </c>
    </row>
    <row r="26" spans="1:3" ht="22" x14ac:dyDescent="0.3">
      <c r="A26" s="26" t="s">
        <v>1</v>
      </c>
      <c r="B26" s="26" t="s">
        <v>71</v>
      </c>
      <c r="C26" s="26" t="s">
        <v>72</v>
      </c>
    </row>
    <row r="27" spans="1:3" ht="19" x14ac:dyDescent="0.25">
      <c r="A27" s="27" t="str" cm="1">
        <f t="array" ref="A27:A38">tblKonten[Konto]</f>
        <v>spark7</v>
      </c>
      <c r="B27" s="27" cm="1">
        <f t="array" ref="B27:B38">tblKonten[App-Stärke (1–5)]</f>
        <v>5</v>
      </c>
      <c r="C27" s="27" cm="1">
        <f t="array" ref="C27:C38">tblKonten[Investing (1–5)]</f>
        <v>5</v>
      </c>
    </row>
    <row r="28" spans="1:3" ht="19" x14ac:dyDescent="0.25">
      <c r="A28" s="27" t="str">
        <v>Erste Studentenkonto</v>
      </c>
      <c r="B28" s="27">
        <v>5</v>
      </c>
      <c r="C28" s="27">
        <v>5</v>
      </c>
    </row>
    <row r="29" spans="1:3" ht="19" x14ac:dyDescent="0.25">
      <c r="A29" s="27" t="str">
        <v>Raiffeisen Jugendkonto</v>
      </c>
      <c r="B29" s="27">
        <v>3</v>
      </c>
      <c r="C29" s="27">
        <v>3</v>
      </c>
    </row>
    <row r="30" spans="1:3" ht="19" x14ac:dyDescent="0.25">
      <c r="A30" s="27" t="str">
        <v>Raiffeisen Studentenkonto</v>
      </c>
      <c r="B30" s="27">
        <v>3</v>
      </c>
      <c r="C30" s="27">
        <v>3</v>
      </c>
    </row>
    <row r="31" spans="1:3" ht="19" x14ac:dyDescent="0.25">
      <c r="A31" s="27" t="str">
        <v>MegaCard</v>
      </c>
      <c r="B31" s="27">
        <v>4</v>
      </c>
      <c r="C31" s="27">
        <v>3</v>
      </c>
    </row>
    <row r="32" spans="1:3" ht="19" x14ac:dyDescent="0.25">
      <c r="A32" s="27" t="str">
        <v>GoGreen Studenten</v>
      </c>
      <c r="B32" s="27">
        <v>4</v>
      </c>
      <c r="C32" s="27">
        <v>3</v>
      </c>
    </row>
    <row r="33" spans="1:6" ht="19" x14ac:dyDescent="0.25">
      <c r="A33" s="27" t="str">
        <v>BAWAG B4-19 KontoBox</v>
      </c>
      <c r="B33" s="27">
        <v>4</v>
      </c>
      <c r="C33" s="27">
        <v>2</v>
      </c>
    </row>
    <row r="34" spans="1:6" ht="19" x14ac:dyDescent="0.25">
      <c r="A34" s="27" t="str">
        <v>BAWAG Studenten KontoBox</v>
      </c>
      <c r="B34" s="27">
        <v>4</v>
      </c>
      <c r="C34" s="27">
        <v>2</v>
      </c>
    </row>
    <row r="35" spans="1:6" ht="19" x14ac:dyDescent="0.25">
      <c r="A35" s="27" t="str">
        <v>easy youth</v>
      </c>
      <c r="B35" s="27">
        <v>4</v>
      </c>
      <c r="C35" s="27">
        <v>2</v>
      </c>
    </row>
    <row r="36" spans="1:6" ht="19" x14ac:dyDescent="0.25">
      <c r="A36" s="27" t="str">
        <v>bank99 Jugendkonto</v>
      </c>
      <c r="B36" s="27">
        <v>3</v>
      </c>
      <c r="C36" s="27">
        <v>1</v>
      </c>
    </row>
    <row r="37" spans="1:6" ht="19" x14ac:dyDescent="0.25">
      <c r="A37" s="27" t="str">
        <v>N26 Standard / &lt;18</v>
      </c>
      <c r="B37" s="27">
        <v>5</v>
      </c>
      <c r="C37" s="27">
        <v>4</v>
      </c>
    </row>
    <row r="38" spans="1:6" ht="19" x14ac:dyDescent="0.25">
      <c r="A38" s="27" t="str">
        <v>Revolut Standard / &lt;18</v>
      </c>
      <c r="B38" s="27">
        <v>5</v>
      </c>
      <c r="C38" s="27">
        <v>5</v>
      </c>
    </row>
    <row r="40" spans="1:6" ht="22" x14ac:dyDescent="0.3">
      <c r="A40" s="26" t="s">
        <v>1</v>
      </c>
      <c r="B40" s="26" t="s">
        <v>71</v>
      </c>
      <c r="C40" s="26" t="s">
        <v>72</v>
      </c>
      <c r="D40" s="26" t="s">
        <v>52</v>
      </c>
      <c r="E40" s="26" t="s">
        <v>73</v>
      </c>
      <c r="F40" s="26" t="s">
        <v>74</v>
      </c>
    </row>
    <row r="41" spans="1:6" ht="19" x14ac:dyDescent="0.25">
      <c r="A41" s="27" t="str" cm="1">
        <f t="array" ref="A41:A52">tblKonten[Konto]</f>
        <v>spark7</v>
      </c>
      <c r="B41" s="27" cm="1">
        <f t="array" ref="B41:B52">tblKonten[App-Stärke (1–5)]</f>
        <v>5</v>
      </c>
      <c r="C41" s="27" cm="1">
        <f t="array" ref="C41:C52">tblKonten[Investing (1–5)]</f>
        <v>5</v>
      </c>
      <c r="D41" cm="1">
        <f t="array" ref="D41:D52">tblKonten[Bonus (1-5)]</f>
        <v>2</v>
      </c>
      <c r="E41" cm="1">
        <f t="array" ref="E41:E52">tblKonten[Ticket-/Eventrabatte (1–5)]</f>
        <v>4</v>
      </c>
      <c r="F41" cm="1">
        <f t="array" ref="F41:F52">tblKonten[Filialnetz (1–5)]</f>
        <v>4</v>
      </c>
    </row>
    <row r="42" spans="1:6" ht="19" x14ac:dyDescent="0.25">
      <c r="A42" s="27" t="str">
        <v>Erste Studentenkonto</v>
      </c>
      <c r="B42" s="27">
        <v>5</v>
      </c>
      <c r="C42" s="27">
        <v>5</v>
      </c>
      <c r="D42">
        <v>5</v>
      </c>
      <c r="E42">
        <v>4</v>
      </c>
      <c r="F42">
        <v>4</v>
      </c>
    </row>
    <row r="43" spans="1:6" ht="19" x14ac:dyDescent="0.25">
      <c r="A43" s="27" t="str">
        <v>Raiffeisen Jugendkonto</v>
      </c>
      <c r="B43" s="27">
        <v>3</v>
      </c>
      <c r="C43" s="27">
        <v>3</v>
      </c>
      <c r="D43">
        <v>4</v>
      </c>
      <c r="E43">
        <v>5</v>
      </c>
      <c r="F43">
        <v>5</v>
      </c>
    </row>
    <row r="44" spans="1:6" ht="19" x14ac:dyDescent="0.25">
      <c r="A44" s="27" t="str">
        <v>Raiffeisen Studentenkonto</v>
      </c>
      <c r="B44" s="27">
        <v>3</v>
      </c>
      <c r="C44" s="27">
        <v>3</v>
      </c>
      <c r="D44">
        <v>0</v>
      </c>
      <c r="E44">
        <v>5</v>
      </c>
      <c r="F44">
        <v>5</v>
      </c>
    </row>
    <row r="45" spans="1:6" ht="19" x14ac:dyDescent="0.25">
      <c r="A45" s="27" t="str">
        <v>MegaCard</v>
      </c>
      <c r="B45" s="27">
        <v>4</v>
      </c>
      <c r="C45" s="27">
        <v>3</v>
      </c>
      <c r="D45">
        <v>3</v>
      </c>
      <c r="E45">
        <v>4</v>
      </c>
      <c r="F45">
        <v>2</v>
      </c>
    </row>
    <row r="46" spans="1:6" ht="19" x14ac:dyDescent="0.25">
      <c r="A46" s="27" t="str">
        <v>GoGreen Studenten</v>
      </c>
      <c r="B46" s="27">
        <v>4</v>
      </c>
      <c r="C46" s="27">
        <v>3</v>
      </c>
      <c r="D46">
        <v>4.5</v>
      </c>
      <c r="E46">
        <v>4</v>
      </c>
      <c r="F46">
        <v>2</v>
      </c>
    </row>
    <row r="47" spans="1:6" ht="19" x14ac:dyDescent="0.25">
      <c r="A47" s="27" t="str">
        <v>BAWAG B4-19 KontoBox</v>
      </c>
      <c r="B47" s="27">
        <v>4</v>
      </c>
      <c r="C47" s="27">
        <v>2</v>
      </c>
      <c r="D47">
        <v>4</v>
      </c>
      <c r="E47">
        <v>2</v>
      </c>
      <c r="F47">
        <v>2</v>
      </c>
    </row>
    <row r="48" spans="1:6" ht="19" x14ac:dyDescent="0.25">
      <c r="A48" s="27" t="str">
        <v>BAWAG Studenten KontoBox</v>
      </c>
      <c r="B48" s="27">
        <v>4</v>
      </c>
      <c r="C48" s="27">
        <v>2</v>
      </c>
      <c r="D48">
        <v>0</v>
      </c>
      <c r="E48">
        <v>2</v>
      </c>
      <c r="F48">
        <v>2</v>
      </c>
    </row>
    <row r="49" spans="1:6" ht="19" x14ac:dyDescent="0.25">
      <c r="A49" s="27" t="str">
        <v>easy youth</v>
      </c>
      <c r="B49" s="27">
        <v>4</v>
      </c>
      <c r="C49" s="27">
        <v>2</v>
      </c>
      <c r="D49">
        <v>4</v>
      </c>
      <c r="E49">
        <v>2</v>
      </c>
      <c r="F49">
        <v>1</v>
      </c>
    </row>
    <row r="50" spans="1:6" ht="19" x14ac:dyDescent="0.25">
      <c r="A50" s="27" t="str">
        <v>bank99 Jugendkonto</v>
      </c>
      <c r="B50" s="27">
        <v>3</v>
      </c>
      <c r="C50" s="27">
        <v>1</v>
      </c>
      <c r="D50">
        <v>4</v>
      </c>
      <c r="E50">
        <v>1</v>
      </c>
      <c r="F50">
        <v>4</v>
      </c>
    </row>
    <row r="51" spans="1:6" ht="19" x14ac:dyDescent="0.25">
      <c r="A51" s="27" t="str">
        <v>N26 Standard / &lt;18</v>
      </c>
      <c r="B51" s="27">
        <v>5</v>
      </c>
      <c r="C51" s="27">
        <v>4</v>
      </c>
      <c r="D51">
        <v>0</v>
      </c>
      <c r="E51">
        <v>1</v>
      </c>
      <c r="F51">
        <v>0</v>
      </c>
    </row>
    <row r="52" spans="1:6" ht="19" x14ac:dyDescent="0.25">
      <c r="A52" s="27" t="str">
        <v>Revolut Standard / &lt;18</v>
      </c>
      <c r="B52" s="27">
        <v>5</v>
      </c>
      <c r="C52" s="27">
        <v>5</v>
      </c>
      <c r="D52">
        <v>0</v>
      </c>
      <c r="E52">
        <v>1</v>
      </c>
      <c r="F52">
        <v>0</v>
      </c>
    </row>
    <row r="55" spans="1:6" ht="37" x14ac:dyDescent="0.45">
      <c r="A55" s="10" t="s">
        <v>81</v>
      </c>
    </row>
    <row r="57" spans="1:6" ht="22" x14ac:dyDescent="0.2">
      <c r="A57" s="16" t="s">
        <v>75</v>
      </c>
    </row>
    <row r="58" spans="1:6" ht="16" customHeight="1" x14ac:dyDescent="0.2">
      <c r="A58" s="40" t="s">
        <v>76</v>
      </c>
      <c r="B58" s="40"/>
      <c r="C58" s="40"/>
      <c r="D58" s="40"/>
      <c r="E58" s="40"/>
      <c r="F58" s="40"/>
    </row>
    <row r="59" spans="1:6" ht="42" customHeight="1" x14ac:dyDescent="0.2">
      <c r="A59" s="40"/>
      <c r="B59" s="40"/>
      <c r="C59" s="40"/>
      <c r="D59" s="40"/>
      <c r="E59" s="40"/>
      <c r="F59" s="40"/>
    </row>
    <row r="60" spans="1:6" ht="22" x14ac:dyDescent="0.2">
      <c r="A60" s="16" t="s">
        <v>77</v>
      </c>
    </row>
    <row r="61" spans="1:6" ht="16" customHeight="1" x14ac:dyDescent="0.2">
      <c r="A61" s="40" t="s">
        <v>78</v>
      </c>
      <c r="B61" s="40"/>
      <c r="C61" s="40"/>
      <c r="D61" s="40"/>
      <c r="E61" s="40"/>
      <c r="F61" s="40"/>
    </row>
    <row r="62" spans="1:6" ht="45" customHeight="1" x14ac:dyDescent="0.2">
      <c r="A62" s="40"/>
      <c r="B62" s="40"/>
      <c r="C62" s="40"/>
      <c r="D62" s="40"/>
      <c r="E62" s="40"/>
      <c r="F62" s="40"/>
    </row>
    <row r="63" spans="1:6" ht="22" x14ac:dyDescent="0.2">
      <c r="A63" s="16" t="s">
        <v>79</v>
      </c>
    </row>
    <row r="64" spans="1:6" ht="16" customHeight="1" x14ac:dyDescent="0.2">
      <c r="A64" s="40" t="s">
        <v>80</v>
      </c>
      <c r="B64" s="40"/>
      <c r="C64" s="40"/>
      <c r="D64" s="40"/>
      <c r="E64" s="40"/>
      <c r="F64" s="40"/>
    </row>
    <row r="65" spans="1:6" ht="43" customHeight="1" x14ac:dyDescent="0.2">
      <c r="A65" s="40"/>
      <c r="B65" s="40"/>
      <c r="C65" s="40"/>
      <c r="D65" s="40"/>
      <c r="E65" s="40"/>
      <c r="F65" s="40"/>
    </row>
    <row r="66" spans="1:6" ht="19" x14ac:dyDescent="0.2">
      <c r="A66" s="40"/>
      <c r="B66" s="40"/>
      <c r="C66" s="40"/>
      <c r="D66" s="40"/>
      <c r="E66" s="40"/>
      <c r="F66" s="40"/>
    </row>
  </sheetData>
  <mergeCells count="8">
    <mergeCell ref="A4:C4"/>
    <mergeCell ref="A5:C5"/>
    <mergeCell ref="A64:F65"/>
    <mergeCell ref="A66:F66"/>
    <mergeCell ref="A6:C6"/>
    <mergeCell ref="A7:C7"/>
    <mergeCell ref="A58:F59"/>
    <mergeCell ref="A61:F62"/>
  </mergeCells>
  <pageMargins left="0.7" right="0.7" top="0.75" bottom="0.75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Daten</vt:lpstr>
      <vt:lpstr>Rechner</vt:lpstr>
      <vt:lpstr>Insights</vt:lpstr>
      <vt:lpstr>Daten!Print_Area</vt:lpstr>
      <vt:lpstr>Insights!Print_Area</vt:lpstr>
      <vt:lpstr>Rechner!Print_Area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cp:lastPrinted>2026-07-09T14:27:10Z</cp:lastPrinted>
  <dcterms:created xsi:type="dcterms:W3CDTF">2026-07-07T17:52:57Z</dcterms:created>
  <dcterms:modified xsi:type="dcterms:W3CDTF">2026-07-09T15:06:26Z</dcterms:modified>
</cp:coreProperties>
</file>